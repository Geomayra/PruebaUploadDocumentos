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f_sri\CONVOCATORIA ESPECIALISTA_ProyectoOrion\"/>
    </mc:Choice>
  </mc:AlternateContent>
  <xr:revisionPtr revIDLastSave="0" documentId="13_ncr:1_{E73EF1A5-9ADD-4AD7-A51B-7E8C47D35553}" xr6:coauthVersionLast="47" xr6:coauthVersionMax="47" xr10:uidLastSave="{00000000-0000-0000-0000-000000000000}"/>
  <bookViews>
    <workbookView xWindow="-108" yWindow="-108" windowWidth="23256" windowHeight="12456" tabRatio="530" xr2:uid="{E783ACA3-A0C3-4028-B60F-C242B1BF5F06}"/>
  </bookViews>
  <sheets>
    <sheet name="Datos Personales Completos" sheetId="5" r:id="rId1"/>
    <sheet name="Experiencia Consolidado" sheetId="18" r:id="rId2"/>
    <sheet name="Lista Asistencia" sheetId="11" r:id="rId3"/>
    <sheet name="ConvocadosPrueba" sheetId="9" r:id="rId4"/>
    <sheet name="TERNAS" sheetId="16" r:id="rId5"/>
    <sheet name="Hoja1" sheetId="19" r:id="rId6"/>
  </sheets>
  <definedNames>
    <definedName name="_xlnm._FilterDatabase" localSheetId="0" hidden="1">'Datos Personales Completos'!$G$1:$G$77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8" l="1"/>
  <c r="F34" i="18"/>
  <c r="E34" i="18"/>
  <c r="F16" i="18"/>
  <c r="G16" i="18"/>
  <c r="S74" i="18"/>
  <c r="T74" i="18" s="1"/>
  <c r="N73" i="18"/>
  <c r="M73" i="18"/>
  <c r="L73" i="18"/>
  <c r="G73" i="18"/>
  <c r="F73" i="18"/>
  <c r="E73" i="18"/>
  <c r="N72" i="18"/>
  <c r="M72" i="18"/>
  <c r="L72" i="18"/>
  <c r="G72" i="18"/>
  <c r="F72" i="18"/>
  <c r="E72" i="18"/>
  <c r="N71" i="18"/>
  <c r="M71" i="18"/>
  <c r="L71" i="18"/>
  <c r="G71" i="18"/>
  <c r="F71" i="18"/>
  <c r="E71" i="18"/>
  <c r="N70" i="18"/>
  <c r="M70" i="18"/>
  <c r="L70" i="18"/>
  <c r="G70" i="18"/>
  <c r="F70" i="18"/>
  <c r="E70" i="18"/>
  <c r="N69" i="18"/>
  <c r="M69" i="18"/>
  <c r="L69" i="18"/>
  <c r="G69" i="18"/>
  <c r="F69" i="18"/>
  <c r="E69" i="18"/>
  <c r="N68" i="18"/>
  <c r="M68" i="18"/>
  <c r="L68" i="18"/>
  <c r="G68" i="18"/>
  <c r="F68" i="18"/>
  <c r="E68" i="18"/>
  <c r="N67" i="18"/>
  <c r="M67" i="18"/>
  <c r="L67" i="18"/>
  <c r="G67" i="18"/>
  <c r="F67" i="18"/>
  <c r="E67" i="18"/>
  <c r="N66" i="18"/>
  <c r="M66" i="18"/>
  <c r="L66" i="18"/>
  <c r="G66" i="18"/>
  <c r="F66" i="18"/>
  <c r="E66" i="18"/>
  <c r="N65" i="18"/>
  <c r="M65" i="18"/>
  <c r="L65" i="18"/>
  <c r="G65" i="18"/>
  <c r="F65" i="18"/>
  <c r="E65" i="18"/>
  <c r="N64" i="18"/>
  <c r="M64" i="18"/>
  <c r="G64" i="18"/>
  <c r="F64" i="18"/>
  <c r="E64" i="18"/>
  <c r="N63" i="18"/>
  <c r="M63" i="18"/>
  <c r="L63" i="18"/>
  <c r="G63" i="18"/>
  <c r="F63" i="18"/>
  <c r="E63" i="18"/>
  <c r="N62" i="18"/>
  <c r="M62" i="18"/>
  <c r="L62" i="18"/>
  <c r="G62" i="18"/>
  <c r="F62" i="18"/>
  <c r="E62" i="18"/>
  <c r="N61" i="18"/>
  <c r="M61" i="18"/>
  <c r="L61" i="18"/>
  <c r="G61" i="18"/>
  <c r="F61" i="18"/>
  <c r="E61" i="18"/>
  <c r="N60" i="18"/>
  <c r="M60" i="18"/>
  <c r="L60" i="18"/>
  <c r="G60" i="18"/>
  <c r="F60" i="18"/>
  <c r="E60" i="18"/>
  <c r="N59" i="18"/>
  <c r="M59" i="18"/>
  <c r="L59" i="18"/>
  <c r="G59" i="18"/>
  <c r="F59" i="18"/>
  <c r="E59" i="18"/>
  <c r="E10" i="18"/>
  <c r="E11" i="18"/>
  <c r="F11" i="18"/>
  <c r="F12" i="18"/>
  <c r="F13" i="18"/>
  <c r="E12" i="18"/>
  <c r="E13" i="18"/>
  <c r="D9" i="18"/>
  <c r="G9" i="18" s="1"/>
  <c r="D35" i="18"/>
  <c r="E46" i="18"/>
  <c r="E37" i="18"/>
  <c r="F37" i="18"/>
  <c r="G37" i="18"/>
  <c r="L37" i="18"/>
  <c r="M37" i="18"/>
  <c r="N37" i="18"/>
  <c r="E38" i="18"/>
  <c r="F38" i="18"/>
  <c r="G38" i="18"/>
  <c r="L38" i="18"/>
  <c r="M38" i="18"/>
  <c r="N38" i="18"/>
  <c r="E39" i="18"/>
  <c r="F39" i="18"/>
  <c r="G39" i="18"/>
  <c r="M39" i="18"/>
  <c r="N39" i="18"/>
  <c r="E40" i="18"/>
  <c r="F40" i="18"/>
  <c r="G40" i="18"/>
  <c r="L40" i="18"/>
  <c r="M40" i="18"/>
  <c r="N40" i="18"/>
  <c r="S54" i="18"/>
  <c r="T54" i="18" s="1"/>
  <c r="N53" i="18"/>
  <c r="M53" i="18"/>
  <c r="L53" i="18"/>
  <c r="G53" i="18"/>
  <c r="F53" i="18"/>
  <c r="E53" i="18"/>
  <c r="N52" i="18"/>
  <c r="M52" i="18"/>
  <c r="L52" i="18"/>
  <c r="G52" i="18"/>
  <c r="F52" i="18"/>
  <c r="E52" i="18"/>
  <c r="N51" i="18"/>
  <c r="M51" i="18"/>
  <c r="G51" i="18"/>
  <c r="F51" i="18"/>
  <c r="E51" i="18"/>
  <c r="N50" i="18"/>
  <c r="M50" i="18"/>
  <c r="L50" i="18"/>
  <c r="G50" i="18"/>
  <c r="F50" i="18"/>
  <c r="E50" i="18"/>
  <c r="N49" i="18"/>
  <c r="M49" i="18"/>
  <c r="L49" i="18"/>
  <c r="G49" i="18"/>
  <c r="F49" i="18"/>
  <c r="E49" i="18"/>
  <c r="N48" i="18"/>
  <c r="M48" i="18"/>
  <c r="L48" i="18"/>
  <c r="G48" i="18"/>
  <c r="F48" i="18"/>
  <c r="E48" i="18"/>
  <c r="N47" i="18"/>
  <c r="M47" i="18"/>
  <c r="L47" i="18"/>
  <c r="G47" i="18"/>
  <c r="F47" i="18"/>
  <c r="E47" i="18"/>
  <c r="N46" i="18"/>
  <c r="M46" i="18"/>
  <c r="L46" i="18"/>
  <c r="G46" i="18"/>
  <c r="F46" i="18"/>
  <c r="S41" i="18"/>
  <c r="T41" i="18" s="1"/>
  <c r="N36" i="18"/>
  <c r="M36" i="18"/>
  <c r="L36" i="18"/>
  <c r="N35" i="18"/>
  <c r="M35" i="18"/>
  <c r="L35" i="18"/>
  <c r="N33" i="18"/>
  <c r="M33" i="18"/>
  <c r="L33" i="18"/>
  <c r="G33" i="18"/>
  <c r="F33" i="18"/>
  <c r="E33" i="18"/>
  <c r="S27" i="18"/>
  <c r="T27" i="18" s="1"/>
  <c r="N26" i="18"/>
  <c r="M26" i="18"/>
  <c r="L26" i="18"/>
  <c r="G26" i="18"/>
  <c r="F26" i="18"/>
  <c r="E26" i="18"/>
  <c r="N25" i="18"/>
  <c r="M25" i="18"/>
  <c r="L25" i="18"/>
  <c r="G25" i="18"/>
  <c r="F25" i="18"/>
  <c r="E25" i="18"/>
  <c r="N24" i="18"/>
  <c r="M24" i="18"/>
  <c r="L24" i="18"/>
  <c r="G24" i="18"/>
  <c r="F24" i="18"/>
  <c r="E24" i="18"/>
  <c r="N23" i="18"/>
  <c r="M23" i="18"/>
  <c r="L23" i="18"/>
  <c r="G23" i="18"/>
  <c r="F23" i="18"/>
  <c r="E23" i="18"/>
  <c r="N22" i="18"/>
  <c r="M22" i="18"/>
  <c r="L22" i="18"/>
  <c r="G22" i="18"/>
  <c r="F22" i="18"/>
  <c r="E22" i="18"/>
  <c r="N21" i="18"/>
  <c r="M21" i="18"/>
  <c r="L21" i="18"/>
  <c r="G21" i="18"/>
  <c r="F21" i="18"/>
  <c r="E21" i="18"/>
  <c r="N20" i="18"/>
  <c r="M20" i="18"/>
  <c r="L20" i="18"/>
  <c r="G20" i="18"/>
  <c r="F20" i="18"/>
  <c r="E20" i="18"/>
  <c r="N19" i="18"/>
  <c r="M19" i="18"/>
  <c r="L19" i="18"/>
  <c r="G19" i="18"/>
  <c r="F19" i="18"/>
  <c r="E19" i="18"/>
  <c r="N18" i="18"/>
  <c r="M18" i="18"/>
  <c r="L18" i="18"/>
  <c r="G18" i="18"/>
  <c r="F18" i="18"/>
  <c r="E18" i="18"/>
  <c r="G15" i="18"/>
  <c r="F15" i="18"/>
  <c r="E15" i="18"/>
  <c r="G14" i="18"/>
  <c r="F14" i="18"/>
  <c r="E14" i="18"/>
  <c r="G10" i="18"/>
  <c r="F10" i="18"/>
  <c r="L20" i="16"/>
  <c r="H20" i="16"/>
  <c r="K20" i="16" s="1"/>
  <c r="F20" i="16"/>
  <c r="J20" i="16" s="1"/>
  <c r="M20" i="16" s="1"/>
  <c r="L19" i="16"/>
  <c r="H19" i="16"/>
  <c r="K19" i="16" s="1"/>
  <c r="F19" i="16"/>
  <c r="J19" i="16" s="1"/>
  <c r="L18" i="16"/>
  <c r="H18" i="16"/>
  <c r="K18" i="16" s="1"/>
  <c r="F18" i="16"/>
  <c r="J18" i="16" s="1"/>
  <c r="M18" i="16" s="1"/>
  <c r="L17" i="16"/>
  <c r="H17" i="16"/>
  <c r="K17" i="16" s="1"/>
  <c r="F17" i="16"/>
  <c r="J17" i="16" s="1"/>
  <c r="M17" i="16" s="1"/>
  <c r="F16" i="16"/>
  <c r="H16" i="16"/>
  <c r="K16" i="16" s="1"/>
  <c r="M16" i="16" s="1"/>
  <c r="J16" i="16"/>
  <c r="L16" i="16"/>
  <c r="F15" i="16"/>
  <c r="H15" i="16"/>
  <c r="J15" i="16"/>
  <c r="K15" i="16"/>
  <c r="L15" i="16"/>
  <c r="M15" i="16"/>
  <c r="F12" i="16"/>
  <c r="H12" i="16"/>
  <c r="J12" i="16"/>
  <c r="K12" i="16"/>
  <c r="L12" i="16"/>
  <c r="M12" i="16"/>
  <c r="L14" i="16"/>
  <c r="H14" i="16"/>
  <c r="K14" i="16" s="1"/>
  <c r="F14" i="16"/>
  <c r="J14" i="16" s="1"/>
  <c r="M14" i="16" s="1"/>
  <c r="L13" i="16"/>
  <c r="H13" i="16"/>
  <c r="K13" i="16" s="1"/>
  <c r="F13" i="16"/>
  <c r="J13" i="16" s="1"/>
  <c r="M13" i="16" s="1"/>
  <c r="L9" i="16"/>
  <c r="L10" i="16"/>
  <c r="L11" i="16"/>
  <c r="L8" i="16"/>
  <c r="H11" i="16"/>
  <c r="K11" i="16" s="1"/>
  <c r="F11" i="16"/>
  <c r="J11" i="16" s="1"/>
  <c r="M11" i="16" s="1"/>
  <c r="K9" i="16"/>
  <c r="H10" i="16"/>
  <c r="K10" i="16" s="1"/>
  <c r="H8" i="16"/>
  <c r="K8" i="16" s="1"/>
  <c r="F9" i="16"/>
  <c r="J9" i="16" s="1"/>
  <c r="F10" i="16"/>
  <c r="J10" i="16" s="1"/>
  <c r="F8" i="16"/>
  <c r="J8" i="16" s="1"/>
  <c r="G74" i="18" l="1"/>
  <c r="N74" i="18"/>
  <c r="E74" i="18"/>
  <c r="H59" i="18" s="1"/>
  <c r="F74" i="18"/>
  <c r="L74" i="18"/>
  <c r="P59" i="18" s="1"/>
  <c r="M74" i="18"/>
  <c r="E9" i="18"/>
  <c r="F9" i="18"/>
  <c r="F27" i="18" s="1"/>
  <c r="G35" i="18"/>
  <c r="F35" i="18"/>
  <c r="E35" i="18"/>
  <c r="M27" i="18"/>
  <c r="N41" i="18"/>
  <c r="F54" i="18"/>
  <c r="G27" i="18"/>
  <c r="L41" i="18"/>
  <c r="P33" i="18" s="1"/>
  <c r="G54" i="18"/>
  <c r="L27" i="18"/>
  <c r="P9" i="18" s="1"/>
  <c r="M41" i="18"/>
  <c r="L54" i="18"/>
  <c r="P46" i="18" s="1"/>
  <c r="M54" i="18"/>
  <c r="N54" i="18"/>
  <c r="E54" i="18"/>
  <c r="H46" i="18" s="1"/>
  <c r="N27" i="18"/>
  <c r="M19" i="16"/>
  <c r="M8" i="16"/>
  <c r="M10" i="16"/>
  <c r="M9" i="16"/>
  <c r="AE59" i="18" l="1"/>
  <c r="E27" i="18"/>
  <c r="H9" i="18" s="1"/>
  <c r="AE9" i="18" s="1"/>
  <c r="F41" i="18"/>
  <c r="E41" i="18"/>
  <c r="H33" i="18" s="1"/>
  <c r="AE33" i="18" s="1"/>
  <c r="G41" i="18"/>
  <c r="AE46" i="18"/>
</calcChain>
</file>

<file path=xl/sharedStrings.xml><?xml version="1.0" encoding="utf-8"?>
<sst xmlns="http://schemas.openxmlformats.org/spreadsheetml/2006/main" count="382" uniqueCount="227">
  <si>
    <t>#</t>
  </si>
  <si>
    <t xml:space="preserve"> Apellidos y Nombres</t>
  </si>
  <si>
    <t>Cédula</t>
  </si>
  <si>
    <t>Correo</t>
  </si>
  <si>
    <t>Teléfono</t>
  </si>
  <si>
    <t xml:space="preserve">Observacion </t>
  </si>
  <si>
    <t>Experiencia General</t>
  </si>
  <si>
    <t>mínimo 4 años para que cumpla
por cada año adicional  (a partir del 5 año) # de años x 5 con un total máximo de 30 puntos</t>
  </si>
  <si>
    <t>Experiencia Especifica</t>
  </si>
  <si>
    <t>mínimo 4 años para que cumpla
por cada año adicional  (a partir del 5 año) # de años x 10 con un total máximo de 60 puntos</t>
  </si>
  <si>
    <t xml:space="preserve">Tercer nivel </t>
  </si>
  <si>
    <t>cumple no cumple</t>
  </si>
  <si>
    <t>Cuarto nivel en Sistemas, Software</t>
  </si>
  <si>
    <t>7 puntos</t>
  </si>
  <si>
    <t xml:space="preserve">Capacitaciones </t>
  </si>
  <si>
    <t>minimo 1 capacitación para que cumpla
1 punto por cada capacitación adicional con un máximo de 3 puntos. ejemplo 4 capcaitaciones en total 3 puntos  (1 para que cumpla y las 3 adicionales)</t>
  </si>
  <si>
    <t>TIEMPO TOTAL
 (EN AÑOS / MESES / DÍAS)</t>
  </si>
  <si>
    <t xml:space="preserve">Cursos </t>
  </si>
  <si>
    <t>Tercer nivel</t>
  </si>
  <si>
    <t>Cuarto Nivel</t>
  </si>
  <si>
    <t>Aspirante</t>
  </si>
  <si>
    <t>FECHA INICIO
dd/mm/aaaa</t>
  </si>
  <si>
    <t>FECHA FIN
dd/mm/aaaa</t>
  </si>
  <si>
    <t>Puntaje experiencia general</t>
  </si>
  <si>
    <t>Experiencia Específica</t>
  </si>
  <si>
    <t>Puntaje experiencia específica</t>
  </si>
  <si>
    <t>fecha</t>
  </si>
  <si>
    <t>Puntos</t>
  </si>
  <si>
    <t xml:space="preserve"> Puntos Cursos  </t>
  </si>
  <si>
    <t>INGENIERO</t>
  </si>
  <si>
    <t>Universidad</t>
  </si>
  <si>
    <t>Registro Senescyt</t>
  </si>
  <si>
    <t>Fecha Senescyt</t>
  </si>
  <si>
    <t>Puntaje Titulo</t>
  </si>
  <si>
    <t xml:space="preserve">Maestría </t>
  </si>
  <si>
    <t>Puntaje Maestría</t>
  </si>
  <si>
    <t>SUBTOTAL CARPETA</t>
  </si>
  <si>
    <t xml:space="preserve">Observación </t>
  </si>
  <si>
    <t>Lista de asistencia</t>
  </si>
  <si>
    <t>Nombre</t>
  </si>
  <si>
    <t>Cedula de identidad</t>
  </si>
  <si>
    <t>Firma de asistencia</t>
  </si>
  <si>
    <t> </t>
  </si>
  <si>
    <t xml:space="preserve"> Confirma Asistencia</t>
  </si>
  <si>
    <t>Observación</t>
  </si>
  <si>
    <t>Fecha confirmación</t>
  </si>
  <si>
    <t>Asistencia</t>
  </si>
  <si>
    <t>Nota Prueba</t>
  </si>
  <si>
    <t>Entrevista</t>
  </si>
  <si>
    <t>/</t>
  </si>
  <si>
    <t>HV</t>
  </si>
  <si>
    <t>Prueba</t>
  </si>
  <si>
    <t>Puntaje HV</t>
  </si>
  <si>
    <t>Puntaje Prueba</t>
  </si>
  <si>
    <t>Puntaje Entrevista</t>
  </si>
  <si>
    <t>TERNA 1</t>
  </si>
  <si>
    <t>Cedula</t>
  </si>
  <si>
    <t>Cumple</t>
  </si>
  <si>
    <t>Total HV</t>
  </si>
  <si>
    <t>Total Prueba</t>
  </si>
  <si>
    <t xml:space="preserve">Total </t>
  </si>
  <si>
    <t>TOTAL</t>
  </si>
  <si>
    <t>Detalle</t>
  </si>
  <si>
    <t>Archivo</t>
  </si>
  <si>
    <t>Hoja de vida</t>
  </si>
  <si>
    <t>Apellidos_nombres.pdf</t>
  </si>
  <si>
    <t>Experiencia laboral</t>
  </si>
  <si>
    <t>Experiencia_capacitacion_apellidos_nombres.xls</t>
  </si>
  <si>
    <t>Certificados laborables</t>
  </si>
  <si>
    <t>Certificados_apellidos_nombres.pdf</t>
  </si>
  <si>
    <t>Cursos_apellidos_nombres.pdf</t>
  </si>
  <si>
    <t>Certificado Impedimento</t>
  </si>
  <si>
    <t>certificadoImpedimento_nombres_apellidos.pdf</t>
  </si>
  <si>
    <t>Convocatoria Proceso  "Especialista de Desarrollo"</t>
  </si>
  <si>
    <t>Preuba Técnica</t>
  </si>
  <si>
    <t>Fecha:05/10/2026</t>
  </si>
  <si>
    <t>Nota Entrevista</t>
  </si>
  <si>
    <t>Cursos, capacitación</t>
  </si>
  <si>
    <t>Ingresar la información en los campos de color amarillo</t>
  </si>
  <si>
    <t xml:space="preserve">Según memos:
Memorando Nro. SRI-NAC-DNH-2025-0602-M
Memorando Nro. SRI-NAC-DNH-2025-0840-M
No podrán ingresar a laborar en la Institución aquellos postulantes que mantengan
vínculos de consanguinidad o afinidad hasta el segundo grado, con servidores
activos del SRI que desempeñen funciones en la misma Dirección Nacional o Zonal,
a la que se postula.
</t>
  </si>
  <si>
    <t>RIVERA GUARACA MAURICIO ISMAEL</t>
  </si>
  <si>
    <t>0604108365</t>
  </si>
  <si>
    <t>mauriciorivera68@hotmail.com</t>
  </si>
  <si>
    <t>0998513030</t>
  </si>
  <si>
    <t>0984099554</t>
  </si>
  <si>
    <t>etroya70@gmail.com</t>
  </si>
  <si>
    <t>NO</t>
  </si>
  <si>
    <t>0997527512</t>
  </si>
  <si>
    <t>ricardocoelloquezada2@gmail.com</t>
  </si>
  <si>
    <t>Universidad de Guayaquil
Buen perfil
empresas privadas, bancos</t>
  </si>
  <si>
    <t>SI</t>
  </si>
  <si>
    <t>alex_1993sp@hotmail.com</t>
  </si>
  <si>
    <t>0987081927 0958915867  0998267136</t>
  </si>
  <si>
    <t>LUIS DAVID LIGNIA TUAPANTA</t>
  </si>
  <si>
    <t>luislignia@gmail.com</t>
  </si>
  <si>
    <t>0995351731</t>
  </si>
  <si>
    <t>0995577770</t>
  </si>
  <si>
    <t>christianpo_1@hotmail.com</t>
  </si>
  <si>
    <t>TECNOLOGÍA
NO EXPERIENCIA</t>
  </si>
  <si>
    <t>munozroger600@gmail.com</t>
  </si>
  <si>
    <t>0980028924</t>
  </si>
  <si>
    <t>UNIVERSIDAD LAICA ELOY ALFARO DE MANABI
NO TIENE EXPERIENCIA EN DESARROLLO</t>
  </si>
  <si>
    <t>0985517196</t>
  </si>
  <si>
    <t>0402037592</t>
  </si>
  <si>
    <t>kevinslc10@gmail.com</t>
  </si>
  <si>
    <t>0991479320</t>
  </si>
  <si>
    <t>ga-xavier@live.com</t>
  </si>
  <si>
    <t>0960400373</t>
  </si>
  <si>
    <t xml:space="preserve">UNACH
registro titulo 25-05-2021
EXP DESARROLLO DESDE 2018
Y BD  </t>
  </si>
  <si>
    <t xml:space="preserve">TECNOLOGÍA TECNOLOGO </t>
  </si>
  <si>
    <t>dalquinga@outlook.com</t>
  </si>
  <si>
    <t>0984251781</t>
  </si>
  <si>
    <t>DANIEL ANTONIO RIERA SUAREZ</t>
  </si>
  <si>
    <t>Daniel_125456@hotmail.com</t>
  </si>
  <si>
    <t>0988529936</t>
  </si>
  <si>
    <t>0998123106</t>
  </si>
  <si>
    <t>sebasnaranjom@gmail.com</t>
  </si>
  <si>
    <t>paolagrandav@gmail.com</t>
  </si>
  <si>
    <t>POLITECNICA NACIONAL
OBTUVO EL TITULO EL 2023
NO INDICA EXPERIENCIA JAVA</t>
  </si>
  <si>
    <t>ALQUINGA AYALA DAVID DANIEL</t>
  </si>
  <si>
    <t xml:space="preserve">NARANJO MENA WASHINGTON SEBASTIAN </t>
  </si>
  <si>
    <t xml:space="preserve">LÓPEZ CORAL KEVIN SANTIAGO </t>
  </si>
  <si>
    <t xml:space="preserve">GARCIA CORONEL PATRICIO XAVIER </t>
  </si>
  <si>
    <t xml:space="preserve">PADILLA OCHOA CHRISTIAN ANTONIO </t>
  </si>
  <si>
    <t>PARRAGA MUÑOZ CARLOS ROGER</t>
  </si>
  <si>
    <t>CALISPA CASTRO ALEX DARIO</t>
  </si>
  <si>
    <t>FUERTES FUELTALA ADRIAN LENIN</t>
  </si>
  <si>
    <t>0401505953</t>
  </si>
  <si>
    <t>adncast440@yahoo.com</t>
  </si>
  <si>
    <t>0962517689</t>
  </si>
  <si>
    <t>Lic. en Comunicación Social</t>
  </si>
  <si>
    <t>ESPE
Obtuvo el titulo en el 2023</t>
  </si>
  <si>
    <t>jhosef-linuxero@outlook.es</t>
  </si>
  <si>
    <t>0979813308</t>
  </si>
  <si>
    <t>Se solicitó informacion completa</t>
  </si>
  <si>
    <t>BYRON FRANCISCO SOLIZ ACOSTA</t>
  </si>
  <si>
    <t>francisco-soliz@hotmail.com</t>
  </si>
  <si>
    <t>0991917102</t>
  </si>
  <si>
    <t xml:space="preserve">TECNOLOGO en artes </t>
  </si>
  <si>
    <t>POLITECNICA ESTATAL DEL CARCHI
Obtuvo el titulo el 2021-08-12</t>
  </si>
  <si>
    <t>0995 592 380</t>
  </si>
  <si>
    <t>edison.palomino@hotmail.com</t>
  </si>
  <si>
    <t>PALOMINO LANDETA EDISON ABRAHAM</t>
  </si>
  <si>
    <t>Tecnologo desde 2015
Ingenieria registrada el 2026-05-26</t>
  </si>
  <si>
    <t>GRANDA VINUEZA PAOLA ELIZABETH</t>
  </si>
  <si>
    <t>CENTRAL
EXPERIENCIA EN DATOS LA MAS ACTUAL</t>
  </si>
  <si>
    <t>PORRAS JUMBO JHONNATAN DANIEL</t>
  </si>
  <si>
    <t>Obtiene el título de ingeniero en : 2026-09-07</t>
  </si>
  <si>
    <t>jhonnatanporras23@gmail.com</t>
  </si>
  <si>
    <t>0958806224</t>
  </si>
  <si>
    <t>COELLO QUEZADA RICARDO ROBERTO</t>
  </si>
  <si>
    <t xml:space="preserve">MUNICIPIO DEL DISTRITO METROPOLITANO DE QUITO  </t>
  </si>
  <si>
    <t>SPLENDOR - DINÁMICA DE MERCADOS ADMINISTRADOR DE BASES DE DATOS</t>
  </si>
  <si>
    <t>MUNICIPIO DEL DISTRITO METROPOLITANO DE QUITO</t>
  </si>
  <si>
    <t>ESTUDIO TRIBUTARIO CONTABLE</t>
  </si>
  <si>
    <t>CONSEJO DE PARTICIPACIÓN CIUDADANA Y CONTROL SOCIAL</t>
  </si>
  <si>
    <t>Spring Boot y Angular Creando aplicaciones como fullstack</t>
  </si>
  <si>
    <t>Ingeniero en Sistemas de Computación</t>
  </si>
  <si>
    <t>UNACH</t>
  </si>
  <si>
    <t>1019-2021-2300790</t>
  </si>
  <si>
    <t>AGENCIA DE REGULACIÓN Y CONTROL DE LAS TELECOMUNICACIONES</t>
  </si>
  <si>
    <t>Programación y Desarrollo Front-end y Back-end desde cero</t>
  </si>
  <si>
    <t>JavaScript Moderno Guía Definitiva Construye</t>
  </si>
  <si>
    <t>JavaScript Desde cero con NodeJS</t>
  </si>
  <si>
    <t>PULLAY VINUEZA OSCAR EDUARDO</t>
  </si>
  <si>
    <t>0984864415</t>
  </si>
  <si>
    <t>oscarepv1520@gmail.com</t>
  </si>
  <si>
    <t>Tecnologo desde 2019
Ingenieria registrada el 2025-05-14</t>
  </si>
  <si>
    <t>TECNOLOGO   2023-05-31
CURSANDO LA Ingenieria</t>
  </si>
  <si>
    <t>TROYA MANYA ERICK DANIEL</t>
  </si>
  <si>
    <t>No tiene titulo de 3er nivel 
Solo tecnologo 2024-04-30
No tiene experiencia de desarrollo</t>
  </si>
  <si>
    <t>0950016279</t>
  </si>
  <si>
    <t xml:space="preserve">	TELLO MORA DIEGO FERNANDO</t>
  </si>
  <si>
    <t>diegotm_93@outlook.com</t>
  </si>
  <si>
    <t>0991418265</t>
  </si>
  <si>
    <t>INGENIERO EN MECATRONICA
Solo este año se dedica al desarrollo de sw
No cumpliría la experiencia</t>
  </si>
  <si>
    <t xml:space="preserve">SALESIANA
PERFIL DE BD Y REDES
</t>
  </si>
  <si>
    <t>ESPE
Municipio experiencia los ultimos 10 años
Pero solo gestión - no desarrollo</t>
  </si>
  <si>
    <t>MARTINEZ BONILLA DIEGO FERNANDO</t>
  </si>
  <si>
    <t>diego.martinez@andinanet.net</t>
  </si>
  <si>
    <t>0996106744</t>
  </si>
  <si>
    <t xml:space="preserve">MAESTRIA EN ING INFORMATICA
</t>
  </si>
  <si>
    <t>LÓPEZ CORAL KEVIN SANTIAGO
TITULO FALTA REVISAR</t>
  </si>
  <si>
    <t>CONSEJO DE PARTICIPACIÓN CIUDADANA Y CONTROL SOCIAL
ANALISTA PROGRAMADOR</t>
  </si>
  <si>
    <t>AGENCIA DE REGULACIÓN Y CONTROL DE LAS TELECOMUNICACIONES
ANALISTA DE TECNOLOGIAS DE LA INFORMACION Y COMUNICACION 2</t>
  </si>
  <si>
    <t>INGENIERO EN INFORMATICA</t>
  </si>
  <si>
    <t>1074-2021-2341870</t>
  </si>
  <si>
    <t>UNIVERSIDAD POLITECNICA ESTATAL DEL CARCHI</t>
  </si>
  <si>
    <t>ROSERO VACA DARWIN ANDRES</t>
  </si>
  <si>
    <t>0401664651</t>
  </si>
  <si>
    <t>0995512597</t>
  </si>
  <si>
    <t>darwin11rv@gmail.com</t>
  </si>
  <si>
    <t>Ingeniero pero la experiencia en los ultimos 5 años esta de coordinador.
La mayoria de experiencia en datos</t>
  </si>
  <si>
    <t>BRAVO BRAVO CRISTIAN HERNAN</t>
  </si>
  <si>
    <t>cristianhbravo@outlook.es</t>
  </si>
  <si>
    <t>0959154330</t>
  </si>
  <si>
    <t>TECNOLOGO</t>
  </si>
  <si>
    <t>Revisa cv Sofi</t>
  </si>
  <si>
    <t>INGENIERO EN SISTEMAS INFORMATICOS</t>
  </si>
  <si>
    <t>UNIVERSIDAD TECNOLOGICA ISRAEL</t>
  </si>
  <si>
    <t>1051-11-1072038</t>
  </si>
  <si>
    <t>MASTER UNIVERSITARIO EN INGENIERIA INFORMATICA</t>
  </si>
  <si>
    <t>UNIVERSITAT OBERTA DE CATALUNYA</t>
  </si>
  <si>
    <t>Se solicitó la documentación completa</t>
  </si>
  <si>
    <r>
      <rPr>
        <b/>
        <sz val="10"/>
        <color rgb="FF000000"/>
        <rFont val="Calibri"/>
        <family val="2"/>
      </rPr>
      <t>PRODUBANCO</t>
    </r>
    <r>
      <rPr>
        <sz val="10"/>
        <color indexed="8"/>
        <rFont val="Calibri"/>
        <family val="2"/>
      </rPr>
      <t xml:space="preserve"> - NETBY - INGENIERO DE DESARROLLO DE APLICACIONES DESARROLLO DE APPS SE UTILIZA .</t>
    </r>
    <r>
      <rPr>
        <b/>
        <sz val="10"/>
        <color rgb="FF000000"/>
        <rFont val="Calibri"/>
        <family val="2"/>
      </rPr>
      <t>NET</t>
    </r>
    <r>
      <rPr>
        <sz val="10"/>
        <color indexed="8"/>
        <rFont val="Calibri"/>
        <family val="2"/>
      </rPr>
      <t xml:space="preserve"> 8, 9 Y 10 EN SUS VERSIONES PARA
BACKEND,</t>
    </r>
  </si>
  <si>
    <r>
      <rPr>
        <b/>
        <sz val="10"/>
        <color rgb="FF000000"/>
        <rFont val="Calibri"/>
        <family val="2"/>
      </rPr>
      <t>PRESIDENCIA DE LA REPUBLICA</t>
    </r>
    <r>
      <rPr>
        <sz val="10"/>
        <color indexed="8"/>
        <rFont val="Calibri"/>
        <family val="2"/>
      </rPr>
      <t xml:space="preserve">
DESARROLLO Y MANTENIMIENTO </t>
    </r>
    <r>
      <rPr>
        <b/>
        <sz val="10"/>
        <color rgb="FF000000"/>
        <rFont val="Calibri"/>
        <family val="2"/>
      </rPr>
      <t>JAVA</t>
    </r>
    <r>
      <rPr>
        <sz val="10"/>
        <color indexed="8"/>
        <rFont val="Calibri"/>
        <family val="2"/>
      </rPr>
      <t xml:space="preserve"> COMO FROT-END Y USO DEL FRAMEWORK SPRING</t>
    </r>
  </si>
  <si>
    <r>
      <rPr>
        <b/>
        <sz val="10"/>
        <color rgb="FF000000"/>
        <rFont val="Calibri"/>
        <family val="2"/>
      </rPr>
      <t>TECNICO EN INFORMATICA</t>
    </r>
    <r>
      <rPr>
        <sz val="10"/>
        <color indexed="8"/>
        <rFont val="Calibri"/>
        <family val="2"/>
      </rPr>
      <t xml:space="preserve"> / PNUD-MINISTERIO DEL AMBIENTE
DESARROLLO </t>
    </r>
    <r>
      <rPr>
        <b/>
        <sz val="10"/>
        <color rgb="FF000000"/>
        <rFont val="Calibri"/>
        <family val="2"/>
      </rPr>
      <t>PHP Y POSTGRESQL</t>
    </r>
    <r>
      <rPr>
        <sz val="10"/>
        <color indexed="8"/>
        <rFont val="Calibri"/>
        <family val="2"/>
      </rPr>
      <t xml:space="preserve">
</t>
    </r>
  </si>
  <si>
    <t>RESPONSABLE DE APLICACIONES WEB / PLAN AMANECER 
PHP Y MYSQL.</t>
  </si>
  <si>
    <t>INGENIERO DE DESARROLLO / AGRESS GROUP
DESARROLLO c#  sql server</t>
  </si>
  <si>
    <t>INGENIERO DE SOFTWARE / SONDA DEL ECUADOR
C# COMO FRONT END Y SQLSERVER 2000</t>
  </si>
  <si>
    <t>CURSO DE DOCKER</t>
  </si>
  <si>
    <r>
      <t xml:space="preserve">MARTINEZ BONILLA DIEGO FERNANDO
</t>
    </r>
    <r>
      <rPr>
        <b/>
        <sz val="11"/>
        <color rgb="FF000000"/>
        <rFont val="Aptos Narrow"/>
        <family val="2"/>
      </rPr>
      <t>Pendiente</t>
    </r>
    <r>
      <rPr>
        <sz val="11"/>
        <color rgb="FF000000"/>
        <rFont val="Aptos Narrow"/>
        <family val="2"/>
      </rPr>
      <t xml:space="preserve"> que envie los </t>
    </r>
    <r>
      <rPr>
        <b/>
        <sz val="11"/>
        <color rgb="FF000000"/>
        <rFont val="Aptos Narrow"/>
        <family val="2"/>
      </rPr>
      <t>certificados laborales</t>
    </r>
    <r>
      <rPr>
        <sz val="11"/>
        <color rgb="FF000000"/>
        <rFont val="Aptos Narrow"/>
        <family val="2"/>
      </rPr>
      <t xml:space="preserve"> para ver la experiencia en JAVA
</t>
    </r>
    <r>
      <rPr>
        <b/>
        <sz val="11"/>
        <color rgb="FF000000"/>
        <rFont val="Aptos Narrow"/>
        <family val="2"/>
      </rPr>
      <t>Pendiente</t>
    </r>
    <r>
      <rPr>
        <sz val="11"/>
        <color rgb="FF000000"/>
        <rFont val="Aptos Narrow"/>
        <family val="2"/>
      </rPr>
      <t xml:space="preserve"> que envien los certificados de los </t>
    </r>
    <r>
      <rPr>
        <b/>
        <sz val="11"/>
        <color rgb="FF000000"/>
        <rFont val="Aptos Narrow"/>
        <family val="2"/>
      </rPr>
      <t>cursos</t>
    </r>
  </si>
  <si>
    <t>INGENIERO/A EN TELECOMUNICACIONES
El titulo obtuvo el 2023-11-14</t>
  </si>
  <si>
    <t>PALLO MILLINGALLI KLEBER PATRICIO</t>
  </si>
  <si>
    <t>pato_pallo1995@hotmail.com</t>
  </si>
  <si>
    <t>0988512878</t>
  </si>
  <si>
    <t>SALINAS FLORES HENRRY VICENTE</t>
  </si>
  <si>
    <t>tecnologo</t>
  </si>
  <si>
    <t>CANDO GER FABIAN LEONEL</t>
  </si>
  <si>
    <t>0401743042</t>
  </si>
  <si>
    <t>leonelcando@gmail.com</t>
  </si>
  <si>
    <t>0995860103</t>
  </si>
  <si>
    <t>INGENIERO/A EN TELECOMUNICACIONES
El titulo obtuvo el 2025-11-20</t>
  </si>
  <si>
    <t>HOSPITAL UNIVERSITARIO ANDINO - DESARROLLADOR</t>
  </si>
  <si>
    <r>
      <t xml:space="preserve">RIVERA GUARACA MAURICIO ISMAEL
</t>
    </r>
    <r>
      <rPr>
        <sz val="11"/>
        <color theme="5" tint="-0.249977111117893"/>
        <rFont val="Aptos Narrow"/>
        <family val="2"/>
      </rPr>
      <t>El primer periodo labora esta dentro del tiempo en el que obtuvo el titulo
Registro del titulo: 25-04-2021</t>
    </r>
  </si>
  <si>
    <t>REA CHAMORRO JHOSEF ALEXANDER</t>
  </si>
  <si>
    <t>UNIVERSIDAD IBEROAMERICANA DEL ECUADOR
Obtiene el titulo de ingeniero el 2025-05-07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</si>
</sst>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&quot; años&quot;"/>
    <numFmt numFmtId="165" formatCode="#&quot; meses&quot;"/>
    <numFmt numFmtId="166" formatCode="#&quot; días&quot;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Calibri"/>
      <family val="2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indexed="30"/>
      <name val="Calibri"/>
      <family val="2"/>
    </font>
    <font>
      <sz val="10"/>
      <color indexed="8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10"/>
      <color indexed="8"/>
      <name val="Calibri"/>
      <family val="2"/>
    </font>
    <font>
      <sz val="8"/>
      <color rgb="FF333333"/>
      <name val="Arial"/>
      <family val="2"/>
    </font>
    <font>
      <u/>
      <sz val="8"/>
      <color rgb="FF333333"/>
      <name val="Arial"/>
      <family val="2"/>
    </font>
    <font>
      <sz val="11"/>
      <color rgb="FF000000"/>
      <name val="Aptos Narrow"/>
      <family val="2"/>
      <scheme val="minor"/>
    </font>
    <font>
      <b/>
      <sz val="10"/>
      <name val="Calibri"/>
      <family val="2"/>
    </font>
    <font>
      <b/>
      <sz val="16"/>
      <color theme="1"/>
      <name val="Aptos Narrow"/>
      <family val="2"/>
      <scheme val="minor"/>
    </font>
    <font>
      <sz val="8"/>
      <color rgb="FF333333"/>
      <name val="Helvetica Neue"/>
      <charset val="1"/>
    </font>
    <font>
      <sz val="11"/>
      <color theme="1"/>
      <name val="Aptos"/>
      <family val="2"/>
    </font>
    <font>
      <sz val="11"/>
      <color theme="1"/>
      <name val="Aptos Narrow"/>
      <family val="2"/>
    </font>
    <font>
      <b/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theme="5" tint="-0.249977111117893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2" fillId="0" borderId="0"/>
  </cellStyleXfs>
  <cellXfs count="31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0" xfId="0" applyFont="1"/>
    <xf numFmtId="0" fontId="5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0" xfId="0" applyBorder="1"/>
    <xf numFmtId="0" fontId="2" fillId="0" borderId="1" xfId="5" applyFill="1" applyBorder="1"/>
    <xf numFmtId="14" fontId="0" fillId="0" borderId="10" xfId="0" applyNumberFormat="1" applyBorder="1"/>
    <xf numFmtId="0" fontId="9" fillId="0" borderId="0" xfId="0" applyFont="1"/>
    <xf numFmtId="0" fontId="10" fillId="0" borderId="4" xfId="0" applyFont="1" applyBorder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8" fillId="0" borderId="0" xfId="0" applyFont="1"/>
    <xf numFmtId="0" fontId="11" fillId="0" borderId="8" xfId="3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3" fontId="0" fillId="0" borderId="10" xfId="0" applyNumberFormat="1" applyBorder="1"/>
    <xf numFmtId="0" fontId="12" fillId="3" borderId="10" xfId="0" applyFont="1" applyFill="1" applyBorder="1" applyAlignment="1">
      <alignment wrapText="1"/>
    </xf>
    <xf numFmtId="14" fontId="12" fillId="3" borderId="10" xfId="0" applyNumberFormat="1" applyFont="1" applyFill="1" applyBorder="1" applyAlignment="1">
      <alignment wrapText="1"/>
    </xf>
    <xf numFmtId="3" fontId="0" fillId="0" borderId="13" xfId="0" applyNumberFormat="1" applyBorder="1"/>
    <xf numFmtId="0" fontId="16" fillId="0" borderId="0" xfId="0" applyFont="1" applyAlignment="1">
      <alignment horizontal="center"/>
    </xf>
    <xf numFmtId="14" fontId="0" fillId="2" borderId="10" xfId="0" applyNumberForma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wrapText="1"/>
    </xf>
    <xf numFmtId="14" fontId="0" fillId="2" borderId="10" xfId="0" applyNumberFormat="1" applyFill="1" applyBorder="1"/>
    <xf numFmtId="14" fontId="0" fillId="2" borderId="13" xfId="0" applyNumberFormat="1" applyFill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 wrapText="1"/>
    </xf>
    <xf numFmtId="3" fontId="0" fillId="0" borderId="14" xfId="0" applyNumberFormat="1" applyBorder="1"/>
    <xf numFmtId="0" fontId="17" fillId="4" borderId="14" xfId="0" applyFont="1" applyFill="1" applyBorder="1" applyAlignment="1">
      <alignment wrapText="1"/>
    </xf>
    <xf numFmtId="0" fontId="13" fillId="3" borderId="14" xfId="0" applyFont="1" applyFill="1" applyBorder="1" applyAlignment="1">
      <alignment wrapText="1"/>
    </xf>
    <xf numFmtId="14" fontId="12" fillId="3" borderId="14" xfId="0" applyNumberFormat="1" applyFont="1" applyFill="1" applyBorder="1" applyAlignment="1">
      <alignment wrapText="1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14" fontId="7" fillId="2" borderId="1" xfId="0" applyNumberFormat="1" applyFont="1" applyFill="1" applyBorder="1" applyAlignment="1">
      <alignment horizontal="center" vertical="center"/>
    </xf>
    <xf numFmtId="14" fontId="8" fillId="3" borderId="1" xfId="0" applyNumberFormat="1" applyFont="1" applyFill="1" applyBorder="1"/>
    <xf numFmtId="0" fontId="4" fillId="0" borderId="18" xfId="0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2" borderId="23" xfId="0" applyFill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9" xfId="0" applyBorder="1" applyAlignment="1">
      <alignment wrapText="1"/>
    </xf>
    <xf numFmtId="14" fontId="0" fillId="0" borderId="30" xfId="0" applyNumberFormat="1" applyBorder="1"/>
    <xf numFmtId="164" fontId="15" fillId="0" borderId="30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6" fontId="11" fillId="0" borderId="3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0" fillId="0" borderId="34" xfId="0" applyBorder="1" applyAlignment="1">
      <alignment wrapText="1"/>
    </xf>
    <xf numFmtId="14" fontId="0" fillId="0" borderId="35" xfId="0" applyNumberFormat="1" applyBorder="1"/>
    <xf numFmtId="164" fontId="15" fillId="0" borderId="35" xfId="0" applyNumberFormat="1" applyFont="1" applyBorder="1" applyAlignment="1">
      <alignment horizontal="center" vertical="center"/>
    </xf>
    <xf numFmtId="165" fontId="11" fillId="0" borderId="35" xfId="0" applyNumberFormat="1" applyFont="1" applyBorder="1" applyAlignment="1">
      <alignment horizontal="center" vertical="center"/>
    </xf>
    <xf numFmtId="166" fontId="11" fillId="0" borderId="35" xfId="0" applyNumberFormat="1" applyFont="1" applyBorder="1" applyAlignment="1">
      <alignment horizontal="center" vertical="center"/>
    </xf>
    <xf numFmtId="2" fontId="0" fillId="0" borderId="30" xfId="0" applyNumberFormat="1" applyBorder="1"/>
    <xf numFmtId="0" fontId="0" fillId="2" borderId="36" xfId="0" applyFill="1" applyBorder="1" applyAlignment="1">
      <alignment wrapText="1"/>
    </xf>
    <xf numFmtId="2" fontId="0" fillId="0" borderId="32" xfId="0" applyNumberFormat="1" applyBorder="1"/>
    <xf numFmtId="0" fontId="0" fillId="2" borderId="27" xfId="0" applyFill="1" applyBorder="1" applyAlignment="1">
      <alignment wrapText="1"/>
    </xf>
    <xf numFmtId="2" fontId="0" fillId="0" borderId="33" xfId="0" applyNumberFormat="1" applyBorder="1"/>
    <xf numFmtId="0" fontId="0" fillId="2" borderId="37" xfId="0" applyFill="1" applyBorder="1" applyAlignment="1">
      <alignment wrapText="1"/>
    </xf>
    <xf numFmtId="2" fontId="0" fillId="0" borderId="28" xfId="0" applyNumberFormat="1" applyBorder="1"/>
    <xf numFmtId="0" fontId="0" fillId="0" borderId="37" xfId="0" applyBorder="1" applyAlignment="1">
      <alignment wrapText="1"/>
    </xf>
    <xf numFmtId="3" fontId="0" fillId="0" borderId="30" xfId="0" applyNumberFormat="1" applyBorder="1"/>
    <xf numFmtId="2" fontId="0" fillId="0" borderId="31" xfId="0" applyNumberFormat="1" applyBorder="1"/>
    <xf numFmtId="0" fontId="17" fillId="4" borderId="27" xfId="0" applyFont="1" applyFill="1" applyBorder="1" applyAlignment="1">
      <alignment wrapText="1"/>
    </xf>
    <xf numFmtId="0" fontId="12" fillId="3" borderId="37" xfId="0" applyFont="1" applyFill="1" applyBorder="1" applyAlignment="1">
      <alignment wrapText="1"/>
    </xf>
    <xf numFmtId="0" fontId="12" fillId="3" borderId="29" xfId="0" applyFont="1" applyFill="1" applyBorder="1" applyAlignment="1">
      <alignment wrapText="1"/>
    </xf>
    <xf numFmtId="0" fontId="12" fillId="3" borderId="30" xfId="0" applyFont="1" applyFill="1" applyBorder="1" applyAlignment="1">
      <alignment wrapText="1"/>
    </xf>
    <xf numFmtId="14" fontId="12" fillId="3" borderId="30" xfId="0" applyNumberFormat="1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8" fillId="0" borderId="1" xfId="0" applyFont="1" applyBorder="1"/>
    <xf numFmtId="0" fontId="2" fillId="0" borderId="1" xfId="1" applyFill="1" applyBorder="1"/>
    <xf numFmtId="14" fontId="0" fillId="0" borderId="14" xfId="0" applyNumberFormat="1" applyBorder="1" applyAlignment="1">
      <alignment horizontal="center" vertical="center" wrapText="1"/>
    </xf>
    <xf numFmtId="0" fontId="0" fillId="0" borderId="36" xfId="0" applyBorder="1" applyAlignment="1">
      <alignment wrapText="1"/>
    </xf>
    <xf numFmtId="0" fontId="4" fillId="0" borderId="0" xfId="0" applyFont="1" applyAlignment="1">
      <alignment wrapText="1"/>
    </xf>
    <xf numFmtId="0" fontId="20" fillId="0" borderId="0" xfId="0" applyFont="1"/>
    <xf numFmtId="0" fontId="1" fillId="0" borderId="0" xfId="0" applyFont="1" applyAlignment="1">
      <alignment wrapText="1"/>
    </xf>
    <xf numFmtId="14" fontId="0" fillId="0" borderId="13" xfId="0" applyNumberForma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1" xfId="0" quotePrefix="1" applyBorder="1"/>
    <xf numFmtId="0" fontId="19" fillId="0" borderId="1" xfId="0" applyFont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quotePrefix="1"/>
    <xf numFmtId="0" fontId="2" fillId="0" borderId="0" xfId="5" applyFill="1"/>
    <xf numFmtId="0" fontId="14" fillId="0" borderId="0" xfId="1" applyFont="1" applyBorder="1" applyAlignment="1">
      <alignment horizontal="center" vertical="center" wrapText="1"/>
    </xf>
    <xf numFmtId="14" fontId="0" fillId="0" borderId="0" xfId="0" applyNumberFormat="1"/>
    <xf numFmtId="164" fontId="15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3" fontId="0" fillId="0" borderId="0" xfId="0" applyNumberFormat="1"/>
    <xf numFmtId="0" fontId="12" fillId="3" borderId="0" xfId="0" applyFont="1" applyFill="1" applyAlignment="1">
      <alignment wrapText="1"/>
    </xf>
    <xf numFmtId="14" fontId="12" fillId="3" borderId="0" xfId="0" applyNumberFormat="1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4" fontId="7" fillId="0" borderId="45" xfId="0" applyNumberFormat="1" applyFont="1" applyBorder="1" applyAlignment="1">
      <alignment horizontal="center" vertical="center"/>
    </xf>
    <xf numFmtId="0" fontId="12" fillId="4" borderId="50" xfId="0" applyFont="1" applyFill="1" applyBorder="1" applyAlignment="1">
      <alignment horizontal="left" vertical="center" wrapText="1" indent="1"/>
    </xf>
    <xf numFmtId="0" fontId="7" fillId="0" borderId="44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/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8" fillId="0" borderId="3" xfId="0" applyFont="1" applyBorder="1"/>
    <xf numFmtId="0" fontId="9" fillId="0" borderId="48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8" fillId="0" borderId="10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0" fontId="8" fillId="0" borderId="1" xfId="0" applyFont="1" applyBorder="1"/>
    <xf numFmtId="0" fontId="8" fillId="0" borderId="1" xfId="0" quotePrefix="1" applyFont="1" applyBorder="1"/>
    <xf numFmtId="0" fontId="0" fillId="2" borderId="1" xfId="0" applyFill="1" applyBorder="1"/>
    <xf numFmtId="0" fontId="0" fillId="2" borderId="1" xfId="0" quotePrefix="1" applyFill="1" applyBorder="1"/>
    <xf numFmtId="0" fontId="2" fillId="0" borderId="1" xfId="1" applyBorder="1"/>
    <xf numFmtId="0" fontId="2" fillId="0" borderId="1" xfId="5" applyBorder="1"/>
    <xf numFmtId="0" fontId="10" fillId="0" borderId="1" xfId="0" applyFont="1" applyBorder="1" applyAlignment="1">
      <alignment wrapText="1"/>
    </xf>
    <xf numFmtId="164" fontId="7" fillId="0" borderId="54" xfId="0" applyNumberFormat="1" applyFont="1" applyBorder="1" applyAlignment="1">
      <alignment horizontal="center" vertical="center"/>
    </xf>
    <xf numFmtId="165" fontId="7" fillId="0" borderId="54" xfId="0" applyNumberFormat="1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center" vertical="center"/>
    </xf>
    <xf numFmtId="166" fontId="7" fillId="0" borderId="5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" fillId="0" borderId="63" xfId="0" applyFont="1" applyBorder="1" applyAlignment="1">
      <alignment horizontal="center" wrapText="1"/>
    </xf>
    <xf numFmtId="0" fontId="1" fillId="0" borderId="54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23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7" xfId="0" applyBorder="1"/>
    <xf numFmtId="0" fontId="2" fillId="0" borderId="57" xfId="1" applyBorder="1" applyAlignment="1">
      <alignment wrapText="1"/>
    </xf>
    <xf numFmtId="0" fontId="0" fillId="0" borderId="57" xfId="0" applyBorder="1" applyAlignment="1">
      <alignment horizontal="center" wrapText="1"/>
    </xf>
    <xf numFmtId="0" fontId="0" fillId="0" borderId="57" xfId="0" applyBorder="1" applyAlignment="1">
      <alignment wrapText="1"/>
    </xf>
    <xf numFmtId="14" fontId="0" fillId="0" borderId="57" xfId="0" applyNumberFormat="1" applyBorder="1" applyAlignment="1">
      <alignment horizontal="center" vertic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68" xfId="0" applyBorder="1"/>
    <xf numFmtId="0" fontId="9" fillId="0" borderId="51" xfId="0" applyFont="1" applyBorder="1"/>
    <xf numFmtId="0" fontId="0" fillId="5" borderId="1" xfId="0" quotePrefix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0" fillId="5" borderId="63" xfId="0" applyFill="1" applyBorder="1" applyAlignment="1">
      <alignment vertical="center"/>
    </xf>
    <xf numFmtId="0" fontId="0" fillId="5" borderId="54" xfId="0" quotePrefix="1" applyFill="1" applyBorder="1" applyAlignment="1">
      <alignment horizontal="center"/>
    </xf>
    <xf numFmtId="0" fontId="8" fillId="5" borderId="54" xfId="0" applyFont="1" applyFill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0" fillId="5" borderId="23" xfId="0" applyFill="1" applyBorder="1" applyAlignment="1">
      <alignment vertical="center"/>
    </xf>
    <xf numFmtId="0" fontId="21" fillId="5" borderId="23" xfId="0" applyFont="1" applyFill="1" applyBorder="1" applyAlignment="1">
      <alignment vertical="center" wrapText="1"/>
    </xf>
    <xf numFmtId="0" fontId="21" fillId="0" borderId="57" xfId="0" applyFont="1" applyBorder="1" applyAlignment="1">
      <alignment horizontal="center"/>
    </xf>
    <xf numFmtId="0" fontId="0" fillId="5" borderId="23" xfId="0" applyFill="1" applyBorder="1"/>
    <xf numFmtId="0" fontId="0" fillId="5" borderId="1" xfId="0" quotePrefix="1" applyFill="1" applyBorder="1" applyAlignment="1">
      <alignment horizontal="right"/>
    </xf>
    <xf numFmtId="0" fontId="21" fillId="5" borderId="1" xfId="0" applyFont="1" applyFill="1" applyBorder="1" applyAlignment="1">
      <alignment horizontal="center"/>
    </xf>
    <xf numFmtId="0" fontId="0" fillId="5" borderId="23" xfId="0" applyFill="1" applyBorder="1" applyAlignment="1">
      <alignment wrapText="1"/>
    </xf>
    <xf numFmtId="0" fontId="8" fillId="5" borderId="23" xfId="0" applyFont="1" applyFill="1" applyBorder="1"/>
    <xf numFmtId="0" fontId="8" fillId="5" borderId="1" xfId="0" applyFont="1" applyFill="1" applyBorder="1" applyAlignment="1">
      <alignment horizontal="right"/>
    </xf>
    <xf numFmtId="0" fontId="0" fillId="5" borderId="1" xfId="0" applyFill="1" applyBorder="1"/>
    <xf numFmtId="0" fontId="0" fillId="5" borderId="59" xfId="0" applyFill="1" applyBorder="1"/>
    <xf numFmtId="0" fontId="0" fillId="5" borderId="57" xfId="0" applyFill="1" applyBorder="1"/>
    <xf numFmtId="0" fontId="0" fillId="5" borderId="57" xfId="0" applyFill="1" applyBorder="1" applyAlignment="1">
      <alignment horizontal="center"/>
    </xf>
    <xf numFmtId="0" fontId="21" fillId="5" borderId="57" xfId="0" applyFont="1" applyFill="1" applyBorder="1" applyAlignment="1">
      <alignment horizontal="center"/>
    </xf>
    <xf numFmtId="0" fontId="0" fillId="5" borderId="0" xfId="0" applyFill="1"/>
    <xf numFmtId="2" fontId="8" fillId="0" borderId="69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2" fontId="21" fillId="0" borderId="11" xfId="0" applyNumberFormat="1" applyFont="1" applyBorder="1" applyAlignment="1">
      <alignment horizontal="center"/>
    </xf>
    <xf numFmtId="2" fontId="21" fillId="0" borderId="70" xfId="0" applyNumberFormat="1" applyFont="1" applyBorder="1" applyAlignment="1">
      <alignment horizontal="center"/>
    </xf>
    <xf numFmtId="0" fontId="0" fillId="0" borderId="71" xfId="0" applyBorder="1"/>
    <xf numFmtId="0" fontId="0" fillId="0" borderId="71" xfId="0" applyBorder="1" applyAlignment="1">
      <alignment wrapText="1"/>
    </xf>
    <xf numFmtId="0" fontId="0" fillId="0" borderId="72" xfId="0" applyBorder="1"/>
    <xf numFmtId="0" fontId="0" fillId="0" borderId="73" xfId="0" applyBorder="1"/>
    <xf numFmtId="0" fontId="1" fillId="0" borderId="52" xfId="0" applyFont="1" applyBorder="1" applyAlignment="1">
      <alignment horizontal="center"/>
    </xf>
    <xf numFmtId="0" fontId="9" fillId="0" borderId="61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9" fontId="9" fillId="0" borderId="48" xfId="0" applyNumberFormat="1" applyFont="1" applyBorder="1" applyAlignment="1">
      <alignment horizontal="center" vertical="center"/>
    </xf>
    <xf numFmtId="0" fontId="8" fillId="0" borderId="48" xfId="0" applyFont="1" applyBorder="1" applyAlignment="1">
      <alignment vertical="center"/>
    </xf>
    <xf numFmtId="0" fontId="9" fillId="0" borderId="67" xfId="0" applyFont="1" applyBorder="1" applyAlignment="1">
      <alignment horizontal="center" vertical="center"/>
    </xf>
    <xf numFmtId="9" fontId="9" fillId="0" borderId="74" xfId="0" applyNumberFormat="1" applyFont="1" applyBorder="1"/>
    <xf numFmtId="9" fontId="9" fillId="0" borderId="75" xfId="0" applyNumberFormat="1" applyFont="1" applyBorder="1" applyAlignment="1">
      <alignment wrapText="1"/>
    </xf>
    <xf numFmtId="0" fontId="9" fillId="0" borderId="76" xfId="0" applyFont="1" applyBorder="1" applyAlignment="1">
      <alignment wrapText="1"/>
    </xf>
    <xf numFmtId="0" fontId="9" fillId="0" borderId="77" xfId="0" applyFont="1" applyBorder="1" applyAlignment="1">
      <alignment wrapText="1"/>
    </xf>
    <xf numFmtId="0" fontId="9" fillId="0" borderId="78" xfId="0" applyFont="1" applyBorder="1" applyAlignment="1">
      <alignment wrapText="1"/>
    </xf>
    <xf numFmtId="0" fontId="8" fillId="0" borderId="78" xfId="0" applyFont="1" applyBorder="1"/>
    <xf numFmtId="0" fontId="9" fillId="0" borderId="78" xfId="0" applyFont="1" applyBorder="1"/>
    <xf numFmtId="0" fontId="9" fillId="0" borderId="79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 wrapText="1"/>
    </xf>
    <xf numFmtId="0" fontId="9" fillId="0" borderId="81" xfId="0" applyFont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 wrapText="1"/>
    </xf>
    <xf numFmtId="0" fontId="9" fillId="0" borderId="83" xfId="0" applyFont="1" applyBorder="1" applyAlignment="1">
      <alignment horizontal="center" vertical="center" wrapText="1"/>
    </xf>
    <xf numFmtId="0" fontId="8" fillId="0" borderId="83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0" fillId="2" borderId="0" xfId="0" quotePrefix="1" applyFill="1"/>
    <xf numFmtId="14" fontId="7" fillId="0" borderId="54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 applyProtection="1">
      <alignment vertical="center" wrapText="1"/>
      <protection locked="0"/>
    </xf>
    <xf numFmtId="2" fontId="0" fillId="0" borderId="19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 wrapText="1"/>
    </xf>
    <xf numFmtId="0" fontId="1" fillId="0" borderId="40" xfId="0" applyFont="1" applyBorder="1" applyAlignment="1">
      <alignment horizontal="center" wrapText="1"/>
    </xf>
    <xf numFmtId="0" fontId="1" fillId="0" borderId="41" xfId="0" applyFont="1" applyBorder="1" applyAlignment="1">
      <alignment horizontal="center" wrapText="1"/>
    </xf>
    <xf numFmtId="0" fontId="1" fillId="0" borderId="42" xfId="0" applyFont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30" xfId="0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2" borderId="36" xfId="0" applyFill="1" applyBorder="1" applyAlignment="1">
      <alignment horizontal="center" wrapText="1"/>
    </xf>
    <xf numFmtId="0" fontId="0" fillId="2" borderId="27" xfId="0" applyFill="1" applyBorder="1" applyAlignment="1">
      <alignment horizontal="center" wrapText="1"/>
    </xf>
    <xf numFmtId="0" fontId="0" fillId="2" borderId="37" xfId="0" applyFill="1" applyBorder="1" applyAlignment="1">
      <alignment horizontal="center" wrapText="1"/>
    </xf>
    <xf numFmtId="0" fontId="0" fillId="2" borderId="29" xfId="0" applyFill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6" borderId="1" xfId="0" applyFill="1" applyBorder="1" applyAlignment="1">
      <alignment wrapText="1"/>
    </xf>
    <xf numFmtId="0" fontId="2" fillId="2" borderId="1" xfId="1" applyFill="1" applyBorder="1"/>
    <xf numFmtId="0" fontId="12" fillId="4" borderId="86" xfId="0" applyFont="1" applyFill="1" applyBorder="1" applyAlignment="1">
      <alignment horizontal="left" vertical="center" wrapText="1" indent="1"/>
    </xf>
    <xf numFmtId="0" fontId="0" fillId="2" borderId="15" xfId="0" applyFill="1" applyBorder="1" applyAlignment="1">
      <alignment wrapText="1"/>
    </xf>
    <xf numFmtId="0" fontId="12" fillId="4" borderId="87" xfId="0" applyFont="1" applyFill="1" applyBorder="1" applyAlignment="1">
      <alignment horizontal="left" vertical="center" wrapText="1" indent="1"/>
    </xf>
    <xf numFmtId="0" fontId="0" fillId="2" borderId="36" xfId="0" applyFill="1" applyBorder="1" applyAlignment="1">
      <alignment horizontal="center" vertical="top" wrapText="1"/>
    </xf>
    <xf numFmtId="0" fontId="0" fillId="2" borderId="27" xfId="0" applyFill="1" applyBorder="1" applyAlignment="1">
      <alignment horizontal="center" vertical="top" wrapText="1"/>
    </xf>
    <xf numFmtId="0" fontId="0" fillId="2" borderId="37" xfId="0" applyFill="1" applyBorder="1" applyAlignment="1">
      <alignment horizontal="center" vertical="top" wrapText="1"/>
    </xf>
    <xf numFmtId="0" fontId="0" fillId="2" borderId="29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30" xfId="0" applyFill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14" fontId="0" fillId="0" borderId="13" xfId="0" applyNumberFormat="1" applyBorder="1" applyAlignment="1">
      <alignment horizontal="center" vertical="top" wrapText="1"/>
    </xf>
    <xf numFmtId="0" fontId="0" fillId="7" borderId="1" xfId="0" applyFill="1" applyBorder="1"/>
    <xf numFmtId="0" fontId="0" fillId="7" borderId="1" xfId="0" quotePrefix="1" applyFill="1" applyBorder="1"/>
    <xf numFmtId="0" fontId="2" fillId="7" borderId="1" xfId="1" applyFill="1" applyBorder="1"/>
    <xf numFmtId="0" fontId="0" fillId="7" borderId="1" xfId="0" quotePrefix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2" fillId="7" borderId="1" xfId="1" applyFill="1" applyBorder="1" applyAlignment="1">
      <alignment wrapText="1"/>
    </xf>
    <xf numFmtId="0" fontId="19" fillId="7" borderId="1" xfId="0" applyFont="1" applyFill="1" applyBorder="1" applyAlignment="1">
      <alignment wrapText="1"/>
    </xf>
    <xf numFmtId="0" fontId="14" fillId="0" borderId="88" xfId="1" applyFont="1" applyBorder="1" applyAlignment="1">
      <alignment horizontal="center" vertical="center" wrapText="1"/>
    </xf>
    <xf numFmtId="2" fontId="0" fillId="0" borderId="62" xfId="0" applyNumberFormat="1" applyBorder="1" applyAlignment="1">
      <alignment horizontal="center" vertical="center"/>
    </xf>
    <xf numFmtId="0" fontId="7" fillId="0" borderId="63" xfId="0" applyFont="1" applyBorder="1" applyAlignment="1" applyProtection="1">
      <alignment horizontal="left" vertical="center" wrapText="1"/>
      <protection locked="0"/>
    </xf>
    <xf numFmtId="0" fontId="7" fillId="0" borderId="23" xfId="0" applyFont="1" applyBorder="1" applyAlignment="1" applyProtection="1">
      <alignment horizontal="left" vertical="center" wrapText="1"/>
      <protection locked="0"/>
    </xf>
    <xf numFmtId="166" fontId="11" fillId="0" borderId="60" xfId="0" applyNumberFormat="1" applyFont="1" applyBorder="1" applyAlignment="1">
      <alignment horizontal="center" vertical="center"/>
    </xf>
    <xf numFmtId="0" fontId="8" fillId="6" borderId="53" xfId="0" applyFont="1" applyFill="1" applyBorder="1" applyAlignment="1">
      <alignment horizontal="center" vertical="center" wrapText="1"/>
    </xf>
    <xf numFmtId="0" fontId="8" fillId="6" borderId="47" xfId="0" applyFont="1" applyFill="1" applyBorder="1" applyAlignment="1">
      <alignment horizontal="center" vertical="center" wrapText="1"/>
    </xf>
    <xf numFmtId="0" fontId="8" fillId="6" borderId="85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left" vertical="center" wrapText="1" indent="1"/>
    </xf>
    <xf numFmtId="0" fontId="0" fillId="6" borderId="1" xfId="0" applyFill="1" applyBorder="1"/>
    <xf numFmtId="14" fontId="7" fillId="0" borderId="45" xfId="3" applyNumberFormat="1" applyFont="1" applyBorder="1" applyAlignment="1">
      <alignment horizontal="center" vertical="center"/>
    </xf>
    <xf numFmtId="0" fontId="0" fillId="2" borderId="16" xfId="0" applyFill="1" applyBorder="1" applyAlignment="1">
      <alignment wrapText="1"/>
    </xf>
    <xf numFmtId="14" fontId="7" fillId="6" borderId="45" xfId="0" applyNumberFormat="1" applyFont="1" applyFill="1" applyBorder="1" applyAlignment="1">
      <alignment horizontal="center" vertical="center"/>
    </xf>
  </cellXfs>
  <cellStyles count="7">
    <cellStyle name="Excel Built-in Normal" xfId="2" xr:uid="{34440E85-9186-442C-8FD1-BBDC1968F92D}"/>
    <cellStyle name="Hipervínculo" xfId="1" builtinId="8"/>
    <cellStyle name="Hipervínculo 2" xfId="4" xr:uid="{3FBB1E65-9DC1-4FB6-A1B9-7C61A859F2C1}"/>
    <cellStyle name="Hyperlink" xfId="5" xr:uid="{00000000-000B-0000-0000-000008000000}"/>
    <cellStyle name="Normal" xfId="0" builtinId="0"/>
    <cellStyle name="Normal 2" xfId="3" xr:uid="{8B01F6E4-FBF0-4749-A323-6C2970A0B155}"/>
    <cellStyle name="Normal 2 2" xfId="6" xr:uid="{E4C844C9-B4EC-4BEC-815E-592E1E971CCF}"/>
  </cellStyles>
  <dxfs count="13">
    <dxf>
      <font>
        <b/>
        <i val="0"/>
      </font>
      <fill>
        <patternFill>
          <bgColor rgb="FFFF8989"/>
        </patternFill>
      </fill>
    </dxf>
    <dxf>
      <font>
        <b/>
        <i val="0"/>
      </font>
      <fill>
        <patternFill>
          <bgColor rgb="FFFF8989"/>
        </patternFill>
      </fill>
    </dxf>
    <dxf>
      <font>
        <b/>
        <i val="0"/>
      </font>
      <fill>
        <patternFill>
          <bgColor rgb="FFFF8989"/>
        </patternFill>
      </fill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9"/>
      </font>
    </dxf>
    <dxf>
      <font>
        <b/>
        <i val="0"/>
      </font>
      <fill>
        <patternFill>
          <bgColor rgb="FFFF8989"/>
        </patternFill>
      </fill>
    </dxf>
    <dxf>
      <font>
        <b val="0"/>
        <condense val="0"/>
        <extend val="0"/>
        <sz val="11"/>
        <color indexed="9"/>
      </font>
    </dxf>
    <dxf>
      <font>
        <b/>
        <i val="0"/>
      </font>
      <fill>
        <patternFill>
          <bgColor rgb="FFFF8989"/>
        </patternFill>
      </fill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9"/>
      </font>
    </dxf>
    <dxf>
      <font>
        <b/>
        <i val="0"/>
      </font>
      <fill>
        <patternFill>
          <bgColor rgb="FFFF898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_125456@hotmail.com" TargetMode="External"/><Relationship Id="rId13" Type="http://schemas.openxmlformats.org/officeDocument/2006/relationships/hyperlink" Target="mailto:francisco-soliz@hotmail.com" TargetMode="External"/><Relationship Id="rId18" Type="http://schemas.openxmlformats.org/officeDocument/2006/relationships/hyperlink" Target="mailto:diego.martinez@andinanet.net" TargetMode="External"/><Relationship Id="rId3" Type="http://schemas.openxmlformats.org/officeDocument/2006/relationships/hyperlink" Target="mailto:ricardocoelloquezada2@gmail.com" TargetMode="External"/><Relationship Id="rId21" Type="http://schemas.openxmlformats.org/officeDocument/2006/relationships/hyperlink" Target="mailto:pato_pallo1995@hotmail.com" TargetMode="External"/><Relationship Id="rId7" Type="http://schemas.openxmlformats.org/officeDocument/2006/relationships/hyperlink" Target="mailto:dalquinga@outlook.com" TargetMode="External"/><Relationship Id="rId12" Type="http://schemas.openxmlformats.org/officeDocument/2006/relationships/hyperlink" Target="mailto:jhosef-linuxero@outlook.es" TargetMode="External"/><Relationship Id="rId17" Type="http://schemas.openxmlformats.org/officeDocument/2006/relationships/hyperlink" Target="mailto:diegotm_93@outlook.com" TargetMode="External"/><Relationship Id="rId2" Type="http://schemas.openxmlformats.org/officeDocument/2006/relationships/hyperlink" Target="mailto:etroya70@gmail.com" TargetMode="External"/><Relationship Id="rId16" Type="http://schemas.openxmlformats.org/officeDocument/2006/relationships/hyperlink" Target="mailto:oscarepv1520@gmail.com" TargetMode="External"/><Relationship Id="rId20" Type="http://schemas.openxmlformats.org/officeDocument/2006/relationships/hyperlink" Target="mailto:cristianhbravo@outlook.es" TargetMode="External"/><Relationship Id="rId1" Type="http://schemas.openxmlformats.org/officeDocument/2006/relationships/hyperlink" Target="mailto:mauriciorivera68@hotmail.com" TargetMode="External"/><Relationship Id="rId6" Type="http://schemas.openxmlformats.org/officeDocument/2006/relationships/hyperlink" Target="mailto:kevinslc10@gmail.com" TargetMode="External"/><Relationship Id="rId11" Type="http://schemas.openxmlformats.org/officeDocument/2006/relationships/hyperlink" Target="mailto:adncast440@yahoo.com" TargetMode="External"/><Relationship Id="rId5" Type="http://schemas.openxmlformats.org/officeDocument/2006/relationships/hyperlink" Target="mailto:luislignia@gmail.com" TargetMode="External"/><Relationship Id="rId15" Type="http://schemas.openxmlformats.org/officeDocument/2006/relationships/hyperlink" Target="mailto:jhonnatanporras23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paolagrandav@gmail.com" TargetMode="External"/><Relationship Id="rId19" Type="http://schemas.openxmlformats.org/officeDocument/2006/relationships/hyperlink" Target="mailto:darwin11rv@gmail.com" TargetMode="External"/><Relationship Id="rId4" Type="http://schemas.openxmlformats.org/officeDocument/2006/relationships/hyperlink" Target="mailto:alex_1993sp@hotmail.com" TargetMode="External"/><Relationship Id="rId9" Type="http://schemas.openxmlformats.org/officeDocument/2006/relationships/hyperlink" Target="mailto:sebasnaranjom@gmail.com" TargetMode="External"/><Relationship Id="rId14" Type="http://schemas.openxmlformats.org/officeDocument/2006/relationships/hyperlink" Target="mailto:edison.palomino@hotmail.com" TargetMode="External"/><Relationship Id="rId22" Type="http://schemas.openxmlformats.org/officeDocument/2006/relationships/hyperlink" Target="mailto:leonelcan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7935-2107-454F-BFAB-3894D7512980}">
  <dimension ref="A1:H77"/>
  <sheetViews>
    <sheetView tabSelected="1" topLeftCell="A12" zoomScale="110" zoomScaleNormal="110" workbookViewId="0">
      <selection activeCell="F17" sqref="F17"/>
    </sheetView>
  </sheetViews>
  <sheetFormatPr baseColWidth="10" defaultColWidth="11.44140625" defaultRowHeight="14.4"/>
  <cols>
    <col min="1" max="1" width="7" customWidth="1"/>
    <col min="2" max="2" width="36" style="3" customWidth="1"/>
    <col min="3" max="3" width="11.21875" style="3" customWidth="1"/>
    <col min="4" max="4" width="26.77734375" style="3" customWidth="1"/>
    <col min="5" max="5" width="15.77734375" customWidth="1"/>
    <col min="6" max="6" width="41.5546875" style="1" customWidth="1"/>
    <col min="7" max="7" width="11.33203125" style="1" customWidth="1"/>
    <col min="8" max="8" width="30.6640625" bestFit="1" customWidth="1"/>
  </cols>
  <sheetData>
    <row r="1" spans="1:8" s="4" customFormat="1">
      <c r="A1" s="79" t="s">
        <v>0</v>
      </c>
      <c r="B1" s="78" t="s">
        <v>1</v>
      </c>
      <c r="C1" s="8" t="s">
        <v>2</v>
      </c>
      <c r="D1" s="8" t="s">
        <v>3</v>
      </c>
      <c r="E1" s="8" t="s">
        <v>4</v>
      </c>
      <c r="F1" s="77" t="s">
        <v>5</v>
      </c>
      <c r="G1" s="77" t="s">
        <v>57</v>
      </c>
    </row>
    <row r="2" spans="1:8" ht="57.6">
      <c r="A2" s="291"/>
      <c r="B2" s="291" t="s">
        <v>80</v>
      </c>
      <c r="C2" s="292" t="s">
        <v>81</v>
      </c>
      <c r="D2" s="296" t="s">
        <v>82</v>
      </c>
      <c r="E2" s="292" t="s">
        <v>83</v>
      </c>
      <c r="F2" s="297" t="s">
        <v>108</v>
      </c>
      <c r="G2" s="295" t="s">
        <v>90</v>
      </c>
    </row>
    <row r="3" spans="1:8" ht="43.2">
      <c r="A3" s="2"/>
      <c r="B3" s="2" t="s">
        <v>169</v>
      </c>
      <c r="C3" s="3">
        <v>1750284794</v>
      </c>
      <c r="D3" s="84" t="s">
        <v>85</v>
      </c>
      <c r="E3" s="92" t="s">
        <v>84</v>
      </c>
      <c r="F3" s="93" t="s">
        <v>170</v>
      </c>
      <c r="G3" s="5" t="s">
        <v>86</v>
      </c>
    </row>
    <row r="4" spans="1:8" ht="51" customHeight="1">
      <c r="A4" s="2"/>
      <c r="B4" s="2" t="s">
        <v>150</v>
      </c>
      <c r="C4" s="92" t="s">
        <v>171</v>
      </c>
      <c r="D4" s="84" t="s">
        <v>88</v>
      </c>
      <c r="E4" s="92" t="s">
        <v>87</v>
      </c>
      <c r="F4" s="5" t="s">
        <v>89</v>
      </c>
      <c r="G4" s="5" t="s">
        <v>90</v>
      </c>
      <c r="H4" t="s">
        <v>197</v>
      </c>
    </row>
    <row r="5" spans="1:8" ht="28.8" customHeight="1">
      <c r="A5" s="2"/>
      <c r="B5" s="2" t="s">
        <v>125</v>
      </c>
      <c r="C5" s="92">
        <v>1724216195</v>
      </c>
      <c r="D5" s="84" t="s">
        <v>91</v>
      </c>
      <c r="E5" s="94" t="s">
        <v>92</v>
      </c>
      <c r="F5" s="5" t="s">
        <v>109</v>
      </c>
      <c r="G5" s="5" t="s">
        <v>86</v>
      </c>
    </row>
    <row r="6" spans="1:8" ht="28.8">
      <c r="A6" s="2"/>
      <c r="B6" s="2" t="s">
        <v>93</v>
      </c>
      <c r="C6" s="92">
        <v>1725785453</v>
      </c>
      <c r="D6" s="84" t="s">
        <v>94</v>
      </c>
      <c r="E6" s="94" t="s">
        <v>95</v>
      </c>
      <c r="F6" s="5" t="s">
        <v>131</v>
      </c>
      <c r="G6" s="5" t="s">
        <v>86</v>
      </c>
    </row>
    <row r="7" spans="1:8" ht="28.8">
      <c r="A7" s="2"/>
      <c r="B7" s="5" t="s">
        <v>123</v>
      </c>
      <c r="C7" s="92">
        <v>1715760763</v>
      </c>
      <c r="D7" s="84" t="s">
        <v>97</v>
      </c>
      <c r="E7" s="92" t="s">
        <v>96</v>
      </c>
      <c r="F7" s="5" t="s">
        <v>98</v>
      </c>
      <c r="G7" s="5" t="s">
        <v>86</v>
      </c>
    </row>
    <row r="8" spans="1:8" ht="28.8">
      <c r="A8" s="2"/>
      <c r="B8" s="2" t="s">
        <v>124</v>
      </c>
      <c r="C8" s="92">
        <v>1316327707</v>
      </c>
      <c r="D8" s="84" t="s">
        <v>99</v>
      </c>
      <c r="E8" s="94" t="s">
        <v>100</v>
      </c>
      <c r="F8" s="5" t="s">
        <v>101</v>
      </c>
      <c r="G8" s="5" t="s">
        <v>86</v>
      </c>
    </row>
    <row r="9" spans="1:8" ht="28.8">
      <c r="A9" s="2"/>
      <c r="B9" s="2" t="s">
        <v>144</v>
      </c>
      <c r="C9" s="92">
        <v>1716533284</v>
      </c>
      <c r="D9" s="84" t="s">
        <v>117</v>
      </c>
      <c r="E9" s="94" t="s">
        <v>102</v>
      </c>
      <c r="F9" s="5" t="s">
        <v>145</v>
      </c>
      <c r="G9" s="273" t="s">
        <v>86</v>
      </c>
    </row>
    <row r="10" spans="1:8" ht="28.8">
      <c r="A10" s="2"/>
      <c r="B10" s="291" t="s">
        <v>121</v>
      </c>
      <c r="C10" s="292" t="s">
        <v>103</v>
      </c>
      <c r="D10" s="293" t="s">
        <v>104</v>
      </c>
      <c r="E10" s="292" t="s">
        <v>105</v>
      </c>
      <c r="F10" s="295" t="s">
        <v>139</v>
      </c>
      <c r="G10" s="295" t="s">
        <v>90</v>
      </c>
      <c r="H10" t="s">
        <v>203</v>
      </c>
    </row>
    <row r="11" spans="1:8" ht="43.2">
      <c r="A11" s="2"/>
      <c r="B11" s="2" t="s">
        <v>122</v>
      </c>
      <c r="C11" s="92">
        <v>1724718182</v>
      </c>
      <c r="D11" s="10" t="s">
        <v>106</v>
      </c>
      <c r="E11" s="92" t="s">
        <v>107</v>
      </c>
      <c r="F11" s="5" t="s">
        <v>118</v>
      </c>
      <c r="G11" s="5" t="s">
        <v>86</v>
      </c>
    </row>
    <row r="12" spans="1:8" ht="43.2">
      <c r="A12" s="2"/>
      <c r="B12" s="131" t="s">
        <v>112</v>
      </c>
      <c r="C12" s="131">
        <v>1717376808</v>
      </c>
      <c r="D12" s="80" t="s">
        <v>113</v>
      </c>
      <c r="E12" s="132" t="s">
        <v>114</v>
      </c>
      <c r="F12" s="5" t="s">
        <v>176</v>
      </c>
      <c r="G12" s="273" t="s">
        <v>86</v>
      </c>
    </row>
    <row r="13" spans="1:8" ht="43.2">
      <c r="A13" s="2"/>
      <c r="B13" s="2" t="s">
        <v>119</v>
      </c>
      <c r="C13" s="92">
        <v>1719224766</v>
      </c>
      <c r="D13" s="84" t="s">
        <v>110</v>
      </c>
      <c r="E13" s="92" t="s">
        <v>111</v>
      </c>
      <c r="F13" s="5" t="s">
        <v>177</v>
      </c>
      <c r="G13" s="273" t="s">
        <v>86</v>
      </c>
    </row>
    <row r="14" spans="1:8" ht="28.8">
      <c r="A14" s="2"/>
      <c r="B14" s="2" t="s">
        <v>120</v>
      </c>
      <c r="C14" s="92">
        <v>1727264515</v>
      </c>
      <c r="D14" s="84" t="s">
        <v>116</v>
      </c>
      <c r="E14" s="92" t="s">
        <v>115</v>
      </c>
      <c r="F14" s="5" t="s">
        <v>168</v>
      </c>
      <c r="G14" s="5" t="s">
        <v>86</v>
      </c>
    </row>
    <row r="15" spans="1:8">
      <c r="A15" s="2"/>
      <c r="B15" s="2" t="s">
        <v>126</v>
      </c>
      <c r="C15" s="214" t="s">
        <v>127</v>
      </c>
      <c r="D15" s="84" t="s">
        <v>128</v>
      </c>
      <c r="E15" s="92" t="s">
        <v>129</v>
      </c>
      <c r="F15" s="5" t="s">
        <v>130</v>
      </c>
      <c r="G15" s="5" t="s">
        <v>86</v>
      </c>
    </row>
    <row r="16" spans="1:8" ht="28.8">
      <c r="A16" s="2"/>
      <c r="B16" s="2" t="s">
        <v>225</v>
      </c>
      <c r="C16" s="2">
        <v>1750108647</v>
      </c>
      <c r="D16" s="84" t="s">
        <v>132</v>
      </c>
      <c r="E16" s="92" t="s">
        <v>133</v>
      </c>
      <c r="F16" s="93" t="s">
        <v>226</v>
      </c>
      <c r="G16" s="5" t="s">
        <v>86</v>
      </c>
      <c r="H16" t="s">
        <v>134</v>
      </c>
    </row>
    <row r="17" spans="1:7">
      <c r="A17" s="2"/>
      <c r="B17" s="2" t="s">
        <v>135</v>
      </c>
      <c r="C17" s="2">
        <v>1721415113</v>
      </c>
      <c r="D17" s="84" t="s">
        <v>136</v>
      </c>
      <c r="E17" s="92" t="s">
        <v>137</v>
      </c>
      <c r="F17" s="5" t="s">
        <v>138</v>
      </c>
      <c r="G17" s="5" t="s">
        <v>86</v>
      </c>
    </row>
    <row r="18" spans="1:7" ht="28.8">
      <c r="A18" s="2"/>
      <c r="B18" s="5" t="s">
        <v>142</v>
      </c>
      <c r="C18" s="2">
        <v>1713983839</v>
      </c>
      <c r="D18" s="84" t="s">
        <v>141</v>
      </c>
      <c r="E18" s="92" t="s">
        <v>140</v>
      </c>
      <c r="F18" s="5" t="s">
        <v>143</v>
      </c>
      <c r="G18" s="5" t="s">
        <v>86</v>
      </c>
    </row>
    <row r="19" spans="1:7">
      <c r="A19" s="2"/>
      <c r="B19" s="2" t="s">
        <v>146</v>
      </c>
      <c r="C19" s="2">
        <v>1727403865</v>
      </c>
      <c r="D19" s="84" t="s">
        <v>148</v>
      </c>
      <c r="E19" s="92" t="s">
        <v>149</v>
      </c>
      <c r="F19" s="5" t="s">
        <v>147</v>
      </c>
      <c r="G19" s="5" t="s">
        <v>86</v>
      </c>
    </row>
    <row r="20" spans="1:7" ht="28.8">
      <c r="A20" s="2"/>
      <c r="B20" s="2" t="s">
        <v>164</v>
      </c>
      <c r="C20" s="92">
        <v>1725276271</v>
      </c>
      <c r="D20" s="84" t="s">
        <v>166</v>
      </c>
      <c r="E20" s="94" t="s">
        <v>165</v>
      </c>
      <c r="F20" s="5" t="s">
        <v>167</v>
      </c>
      <c r="G20" s="5" t="s">
        <v>86</v>
      </c>
    </row>
    <row r="21" spans="1:7" ht="43.2">
      <c r="A21" s="2"/>
      <c r="B21" s="2" t="s">
        <v>172</v>
      </c>
      <c r="C21" s="2">
        <v>1721374153</v>
      </c>
      <c r="D21" s="84" t="s">
        <v>173</v>
      </c>
      <c r="E21" s="92" t="s">
        <v>174</v>
      </c>
      <c r="F21" s="5" t="s">
        <v>175</v>
      </c>
      <c r="G21" s="5" t="s">
        <v>86</v>
      </c>
    </row>
    <row r="22" spans="1:7" ht="28.8">
      <c r="A22" s="2"/>
      <c r="B22" s="308" t="s">
        <v>178</v>
      </c>
      <c r="C22" s="292">
        <v>1712894847</v>
      </c>
      <c r="D22" s="293" t="s">
        <v>179</v>
      </c>
      <c r="E22" s="294" t="s">
        <v>180</v>
      </c>
      <c r="F22" s="295" t="s">
        <v>181</v>
      </c>
      <c r="G22" s="295" t="s">
        <v>90</v>
      </c>
    </row>
    <row r="23" spans="1:7">
      <c r="A23" s="2"/>
      <c r="B23" s="133" t="s">
        <v>193</v>
      </c>
      <c r="C23" s="134">
        <v>2100667936</v>
      </c>
      <c r="D23" s="274" t="s">
        <v>194</v>
      </c>
      <c r="E23" s="94" t="s">
        <v>195</v>
      </c>
      <c r="F23" s="5" t="s">
        <v>196</v>
      </c>
      <c r="G23" s="5" t="s">
        <v>86</v>
      </c>
    </row>
    <row r="24" spans="1:7" ht="43.2">
      <c r="A24" s="2"/>
      <c r="B24" s="2" t="s">
        <v>188</v>
      </c>
      <c r="C24" s="92" t="s">
        <v>189</v>
      </c>
      <c r="D24" s="84" t="s">
        <v>191</v>
      </c>
      <c r="E24" s="94" t="s">
        <v>190</v>
      </c>
      <c r="F24" s="5" t="s">
        <v>192</v>
      </c>
      <c r="G24" s="5" t="s">
        <v>86</v>
      </c>
    </row>
    <row r="25" spans="1:7" ht="28.8">
      <c r="A25" s="2"/>
      <c r="B25" s="2" t="s">
        <v>213</v>
      </c>
      <c r="C25" s="2">
        <v>1725350795</v>
      </c>
      <c r="D25" s="84" t="s">
        <v>214</v>
      </c>
      <c r="E25" s="92" t="s">
        <v>215</v>
      </c>
      <c r="F25" s="5" t="s">
        <v>212</v>
      </c>
      <c r="G25" s="5" t="s">
        <v>86</v>
      </c>
    </row>
    <row r="26" spans="1:7">
      <c r="A26" s="2"/>
      <c r="B26" s="5" t="s">
        <v>216</v>
      </c>
      <c r="C26" s="2"/>
      <c r="D26" s="10"/>
      <c r="E26" s="92"/>
      <c r="F26" s="5" t="s">
        <v>217</v>
      </c>
      <c r="G26" s="5" t="s">
        <v>86</v>
      </c>
    </row>
    <row r="27" spans="1:7" ht="28.8">
      <c r="A27" s="2"/>
      <c r="B27" s="2" t="s">
        <v>218</v>
      </c>
      <c r="C27" s="92" t="s">
        <v>219</v>
      </c>
      <c r="D27" s="84" t="s">
        <v>220</v>
      </c>
      <c r="E27" s="92" t="s">
        <v>221</v>
      </c>
      <c r="F27" s="5" t="s">
        <v>222</v>
      </c>
      <c r="G27" s="5" t="s">
        <v>86</v>
      </c>
    </row>
    <row r="28" spans="1:7">
      <c r="A28" s="2"/>
      <c r="B28" s="2"/>
      <c r="C28" s="2"/>
      <c r="D28" s="135"/>
      <c r="E28" s="2"/>
      <c r="F28" s="5"/>
      <c r="G28" s="5"/>
    </row>
    <row r="29" spans="1:7">
      <c r="A29" s="2"/>
      <c r="B29" s="2"/>
      <c r="C29" s="92"/>
      <c r="D29" s="10"/>
      <c r="E29" s="2"/>
      <c r="F29" s="5"/>
      <c r="G29" s="5"/>
    </row>
    <row r="30" spans="1:7">
      <c r="A30" s="2"/>
      <c r="B30" s="2"/>
      <c r="C30" s="2"/>
      <c r="D30" s="2"/>
      <c r="E30" s="2"/>
      <c r="F30" s="5"/>
      <c r="G30" s="5"/>
    </row>
    <row r="31" spans="1:7">
      <c r="A31" s="2"/>
      <c r="B31" s="2"/>
      <c r="C31" s="2"/>
      <c r="D31" s="10"/>
      <c r="E31" s="2"/>
      <c r="F31" s="5"/>
      <c r="G31" s="5"/>
    </row>
    <row r="32" spans="1:7">
      <c r="A32" s="2"/>
      <c r="B32" s="5"/>
      <c r="C32" s="2"/>
      <c r="D32" s="10"/>
      <c r="E32" s="2"/>
      <c r="F32" s="5"/>
      <c r="G32" s="5"/>
    </row>
    <row r="33" spans="1:7">
      <c r="A33" s="2"/>
      <c r="B33" s="2"/>
      <c r="C33" s="92"/>
      <c r="D33" s="80"/>
      <c r="E33" s="2"/>
      <c r="F33" s="5"/>
      <c r="G33" s="5"/>
    </row>
    <row r="34" spans="1:7">
      <c r="A34" s="2"/>
      <c r="B34" s="2"/>
      <c r="C34" s="2"/>
      <c r="D34" s="2"/>
      <c r="E34" s="2"/>
      <c r="F34" s="5"/>
      <c r="G34" s="5"/>
    </row>
    <row r="35" spans="1:7">
      <c r="A35" s="2"/>
      <c r="B35" s="2"/>
      <c r="C35" s="2"/>
      <c r="D35" s="2"/>
      <c r="E35" s="2"/>
      <c r="F35" s="5"/>
      <c r="G35" s="5"/>
    </row>
    <row r="36" spans="1:7">
      <c r="A36" s="2"/>
      <c r="B36" s="2"/>
      <c r="C36" s="2"/>
      <c r="D36" s="10"/>
      <c r="E36" s="92"/>
      <c r="F36" s="5"/>
      <c r="G36" s="5"/>
    </row>
    <row r="37" spans="1:7">
      <c r="A37" s="2"/>
      <c r="B37" s="2"/>
      <c r="C37" s="2"/>
      <c r="D37" s="2"/>
      <c r="E37" s="2"/>
      <c r="F37" s="5"/>
      <c r="G37" s="5"/>
    </row>
    <row r="38" spans="1:7">
      <c r="A38" s="2"/>
      <c r="B38" s="2"/>
      <c r="C38" s="2"/>
      <c r="D38" s="2"/>
      <c r="E38" s="2"/>
      <c r="F38" s="5"/>
      <c r="G38" s="5"/>
    </row>
    <row r="39" spans="1:7">
      <c r="A39" s="2"/>
      <c r="B39" s="2"/>
      <c r="C39" s="2"/>
      <c r="D39" s="2"/>
      <c r="E39" s="2"/>
      <c r="F39" s="5"/>
      <c r="G39" s="5"/>
    </row>
    <row r="40" spans="1:7">
      <c r="A40" s="2"/>
      <c r="B40" s="2"/>
      <c r="C40" s="92"/>
      <c r="D40" s="2"/>
      <c r="E40" s="2"/>
      <c r="F40" s="5"/>
      <c r="G40" s="5"/>
    </row>
    <row r="41" spans="1:7">
      <c r="A41" s="2"/>
      <c r="B41" s="5"/>
      <c r="C41" s="2"/>
      <c r="D41" s="2"/>
      <c r="E41" s="2"/>
      <c r="F41" s="5"/>
      <c r="G41" s="5"/>
    </row>
    <row r="42" spans="1:7">
      <c r="A42" s="2"/>
      <c r="B42" s="2"/>
      <c r="C42" s="2"/>
      <c r="D42" s="2"/>
      <c r="E42" s="2"/>
      <c r="F42" s="5"/>
      <c r="G42" s="5"/>
    </row>
    <row r="43" spans="1:7">
      <c r="A43" s="2"/>
      <c r="B43" s="2"/>
      <c r="C43" s="2"/>
      <c r="D43" s="2"/>
      <c r="E43" s="2"/>
      <c r="F43" s="5"/>
      <c r="G43" s="5"/>
    </row>
    <row r="44" spans="1:7">
      <c r="A44" s="2"/>
      <c r="B44" s="5"/>
      <c r="C44" s="2"/>
      <c r="D44" s="2"/>
      <c r="E44" s="2"/>
      <c r="F44" s="5"/>
      <c r="G44" s="5"/>
    </row>
    <row r="45" spans="1:7" ht="34.5" customHeight="1">
      <c r="A45" s="2"/>
      <c r="B45" s="2"/>
      <c r="C45" s="92"/>
      <c r="D45" s="84"/>
      <c r="E45" s="92"/>
      <c r="F45" s="5"/>
      <c r="G45" s="5"/>
    </row>
    <row r="46" spans="1:7">
      <c r="A46" s="2"/>
      <c r="B46" s="2"/>
      <c r="C46" s="2"/>
      <c r="D46" s="2"/>
      <c r="E46" s="2"/>
      <c r="F46" s="5"/>
      <c r="G46" s="5"/>
    </row>
    <row r="47" spans="1:7">
      <c r="A47" s="2"/>
      <c r="B47" s="2"/>
      <c r="C47" s="2"/>
      <c r="D47" s="10"/>
      <c r="E47" s="2"/>
      <c r="F47" s="5"/>
      <c r="G47" s="5"/>
    </row>
    <row r="48" spans="1:7">
      <c r="A48" s="2"/>
      <c r="B48" s="2"/>
      <c r="C48" s="2"/>
      <c r="D48" s="10"/>
      <c r="E48" s="2"/>
      <c r="F48" s="5"/>
      <c r="G48" s="5"/>
    </row>
    <row r="49" spans="1:7">
      <c r="A49" s="2"/>
      <c r="B49" s="2"/>
      <c r="C49" s="2"/>
      <c r="D49" s="2"/>
      <c r="E49" s="2"/>
      <c r="F49" s="5"/>
      <c r="G49" s="5"/>
    </row>
    <row r="50" spans="1:7">
      <c r="A50" s="2"/>
      <c r="B50" s="2"/>
      <c r="C50" s="2"/>
      <c r="D50" s="2"/>
      <c r="E50" s="2"/>
      <c r="F50" s="5"/>
      <c r="G50" s="5"/>
    </row>
    <row r="51" spans="1:7">
      <c r="A51" s="2"/>
      <c r="B51" s="2"/>
      <c r="C51" s="2"/>
      <c r="D51" s="10"/>
      <c r="E51" s="2"/>
      <c r="F51" s="5"/>
      <c r="G51" s="5"/>
    </row>
    <row r="52" spans="1:7">
      <c r="A52" s="2"/>
      <c r="B52" s="2"/>
      <c r="C52" s="2"/>
      <c r="D52" s="2"/>
      <c r="E52" s="2"/>
      <c r="F52" s="5"/>
      <c r="G52" s="5"/>
    </row>
    <row r="53" spans="1:7">
      <c r="A53" s="2"/>
      <c r="B53" s="5"/>
      <c r="C53" s="2"/>
      <c r="D53" s="2"/>
      <c r="E53" s="2"/>
      <c r="F53" s="5"/>
      <c r="G53" s="5"/>
    </row>
    <row r="54" spans="1:7">
      <c r="A54" s="2"/>
      <c r="B54" s="2"/>
      <c r="C54" s="92"/>
      <c r="D54" s="84"/>
      <c r="E54" s="5"/>
      <c r="F54" s="5"/>
      <c r="G54" s="5"/>
    </row>
    <row r="55" spans="1:7">
      <c r="A55" s="2"/>
      <c r="B55" s="2"/>
      <c r="C55" s="2"/>
      <c r="D55" s="2"/>
      <c r="E55" s="2"/>
      <c r="F55" s="5"/>
      <c r="G55" s="5"/>
    </row>
    <row r="56" spans="1:7">
      <c r="A56" s="2"/>
      <c r="B56" s="2"/>
      <c r="C56" s="2"/>
      <c r="D56" s="135"/>
      <c r="E56" s="2"/>
      <c r="F56" s="5"/>
      <c r="G56" s="5"/>
    </row>
    <row r="57" spans="1:7">
      <c r="A57" s="2"/>
      <c r="B57" s="5"/>
      <c r="C57" s="2"/>
      <c r="D57" s="84"/>
      <c r="E57" s="92"/>
      <c r="F57" s="5"/>
      <c r="G57" s="5"/>
    </row>
    <row r="58" spans="1:7">
      <c r="A58" s="2"/>
      <c r="B58" s="2"/>
      <c r="C58" s="2"/>
      <c r="D58" s="10"/>
      <c r="E58" s="2"/>
      <c r="F58" s="5"/>
      <c r="G58" s="5"/>
    </row>
    <row r="59" spans="1:7">
      <c r="A59" s="2"/>
      <c r="B59" s="2"/>
      <c r="C59" s="2"/>
      <c r="D59" s="136"/>
      <c r="E59" s="2"/>
      <c r="F59" s="5"/>
      <c r="G59" s="5"/>
    </row>
    <row r="60" spans="1:7">
      <c r="A60" s="2"/>
      <c r="B60" s="2"/>
      <c r="C60" s="92"/>
      <c r="D60" s="84"/>
      <c r="E60" s="5"/>
      <c r="F60" s="5"/>
      <c r="G60" s="5"/>
    </row>
    <row r="61" spans="1:7">
      <c r="A61" s="2"/>
      <c r="B61" s="2"/>
      <c r="C61" s="92"/>
      <c r="D61" s="10"/>
      <c r="E61" s="2"/>
      <c r="F61" s="5"/>
      <c r="G61" s="5"/>
    </row>
    <row r="62" spans="1:7" ht="47.25" customHeight="1">
      <c r="A62" s="2"/>
      <c r="B62" s="2"/>
      <c r="C62" s="92"/>
      <c r="D62" s="80"/>
      <c r="E62" s="5"/>
      <c r="F62" s="5"/>
      <c r="G62" s="5"/>
    </row>
    <row r="63" spans="1:7">
      <c r="A63" s="2"/>
      <c r="B63" s="2"/>
      <c r="C63" s="2"/>
      <c r="D63" s="10"/>
      <c r="E63" s="92"/>
      <c r="F63" s="5"/>
      <c r="G63" s="5"/>
    </row>
    <row r="64" spans="1:7">
      <c r="A64" s="2"/>
      <c r="B64" s="2"/>
      <c r="C64" s="2"/>
      <c r="D64" s="135"/>
      <c r="E64" s="2"/>
      <c r="F64" s="5"/>
      <c r="G64" s="5"/>
    </row>
    <row r="65" spans="1:7">
      <c r="A65" s="2"/>
      <c r="B65" s="2"/>
      <c r="C65" s="2"/>
      <c r="D65" s="2"/>
      <c r="E65" s="2"/>
      <c r="F65" s="5"/>
      <c r="G65" s="5"/>
    </row>
    <row r="66" spans="1:7">
      <c r="A66" s="2"/>
      <c r="B66" s="2"/>
      <c r="C66" s="2"/>
      <c r="D66" s="10"/>
      <c r="E66" s="2"/>
      <c r="F66" s="137"/>
      <c r="G66" s="5"/>
    </row>
    <row r="67" spans="1:7">
      <c r="A67" s="2"/>
      <c r="B67" s="2"/>
      <c r="C67" s="2"/>
      <c r="D67" s="10"/>
      <c r="E67" s="2"/>
      <c r="F67" s="137"/>
      <c r="G67" s="5"/>
    </row>
    <row r="68" spans="1:7">
      <c r="A68" s="2"/>
      <c r="B68" s="2"/>
      <c r="C68" s="2"/>
      <c r="D68" s="135"/>
      <c r="E68" s="2"/>
      <c r="F68" s="5"/>
      <c r="G68" s="5"/>
    </row>
    <row r="69" spans="1:7">
      <c r="A69" s="2"/>
      <c r="B69" s="2"/>
      <c r="C69" s="2"/>
      <c r="D69" s="84"/>
      <c r="E69" s="2"/>
      <c r="F69" s="5"/>
      <c r="G69" s="5"/>
    </row>
    <row r="70" spans="1:7">
      <c r="A70" s="2"/>
      <c r="B70" s="2"/>
      <c r="C70" s="2"/>
      <c r="D70" s="10"/>
      <c r="E70" s="2"/>
      <c r="F70" s="137"/>
      <c r="G70" s="5"/>
    </row>
    <row r="71" spans="1:7">
      <c r="A71" s="2"/>
      <c r="B71" s="2"/>
      <c r="C71" s="2"/>
      <c r="D71" s="10"/>
      <c r="E71" s="2"/>
      <c r="F71" s="5"/>
      <c r="G71" s="5"/>
    </row>
    <row r="72" spans="1:7">
      <c r="A72" s="2"/>
      <c r="B72" s="2"/>
      <c r="C72" s="2"/>
      <c r="D72" s="135"/>
      <c r="E72" s="5"/>
      <c r="F72" s="5"/>
      <c r="G72" s="5"/>
    </row>
    <row r="73" spans="1:7">
      <c r="A73" s="2"/>
      <c r="B73" s="2"/>
      <c r="C73" s="2"/>
      <c r="D73" s="2"/>
      <c r="E73" s="2"/>
      <c r="F73" s="5"/>
      <c r="G73" s="5"/>
    </row>
    <row r="74" spans="1:7">
      <c r="A74" s="2"/>
      <c r="B74" s="2"/>
      <c r="C74" s="2"/>
      <c r="D74" s="10"/>
      <c r="E74" s="2"/>
      <c r="F74" s="137"/>
      <c r="G74" s="5"/>
    </row>
    <row r="75" spans="1:7">
      <c r="A75" s="2"/>
      <c r="B75" s="2"/>
      <c r="C75" s="2"/>
      <c r="D75" s="2"/>
      <c r="E75" s="2"/>
      <c r="F75" s="5"/>
      <c r="G75" s="5"/>
    </row>
    <row r="76" spans="1:7" ht="66.75" customHeight="1">
      <c r="A76" s="2"/>
      <c r="B76" s="2"/>
      <c r="C76" s="2"/>
      <c r="D76" s="10"/>
      <c r="E76" s="2"/>
      <c r="F76" s="5"/>
      <c r="G76" s="5"/>
    </row>
    <row r="77" spans="1:7">
      <c r="B77"/>
      <c r="C77" s="95"/>
      <c r="D77" s="96"/>
    </row>
  </sheetData>
  <autoFilter ref="G1:G77" xr:uid="{DB857935-2107-454F-BFAB-3894D7512980}"/>
  <sortState xmlns:xlrd2="http://schemas.microsoft.com/office/spreadsheetml/2017/richdata2" ref="B2:G4">
    <sortCondition ref="B1:B4"/>
  </sortState>
  <hyperlinks>
    <hyperlink ref="D2" r:id="rId1" xr:uid="{1BC56C24-8FC7-4D74-83A3-929378D9CD8D}"/>
    <hyperlink ref="D3" r:id="rId2" xr:uid="{C63E55B3-2EEB-4057-B9BC-5EE86B01CDF8}"/>
    <hyperlink ref="D4" r:id="rId3" xr:uid="{2686742D-888A-4441-B578-FFF5B6E4ADEE}"/>
    <hyperlink ref="D5" r:id="rId4" xr:uid="{B664FA51-E1A1-4AA8-B590-816DEF5C10AE}"/>
    <hyperlink ref="D6" r:id="rId5" xr:uid="{6E9E0CC2-77EB-440E-9355-16CA3D33177B}"/>
    <hyperlink ref="D10" r:id="rId6" xr:uid="{97D4BB65-A44E-41FC-A8AC-E1CA552CA0AD}"/>
    <hyperlink ref="D13" r:id="rId7" xr:uid="{82A75483-6354-4139-8FCD-8F311CFFF176}"/>
    <hyperlink ref="D12" r:id="rId8" xr:uid="{CC3C1D21-9D0A-4515-A42D-1E65D7527F03}"/>
    <hyperlink ref="D14" r:id="rId9" xr:uid="{E8DF2F5E-1823-4AE2-A632-B1AE91C3696A}"/>
    <hyperlink ref="D9" r:id="rId10" xr:uid="{172DF7E6-4B9E-4CF3-A7D3-303E305E70C2}"/>
    <hyperlink ref="D15" r:id="rId11" xr:uid="{ACECF861-C304-4084-8D43-D36AED2C8838}"/>
    <hyperlink ref="D16" r:id="rId12" xr:uid="{12D4F734-7FF6-45EF-8F07-E118297CB824}"/>
    <hyperlink ref="D17" r:id="rId13" xr:uid="{DF04A76E-2D5B-43A8-8897-BAB62A783E0C}"/>
    <hyperlink ref="D18" r:id="rId14" xr:uid="{FF34C18F-1922-4187-96A7-B6CC5CEC9A19}"/>
    <hyperlink ref="D19" r:id="rId15" xr:uid="{C1AC0ADB-28A1-4DFC-94C1-F33FBE5D843F}"/>
    <hyperlink ref="D20" r:id="rId16" xr:uid="{8B270278-948B-4A3B-B18F-2256A644B0BE}"/>
    <hyperlink ref="D21" r:id="rId17" xr:uid="{C4BC8A5E-608E-498D-91DA-320DAC48B015}"/>
    <hyperlink ref="D22" r:id="rId18" xr:uid="{2A8B53C4-E21A-4782-879C-ACADE2ABB313}"/>
    <hyperlink ref="D24" r:id="rId19" xr:uid="{DAE9CD6F-8CC2-4BDA-AFE2-0DBEA5CC7C78}"/>
    <hyperlink ref="D23" r:id="rId20" xr:uid="{5AC53450-7B9D-47CE-9161-258E48000770}"/>
    <hyperlink ref="D25" r:id="rId21" xr:uid="{E70C5283-03B8-485C-8263-30ECC3677483}"/>
    <hyperlink ref="D27" r:id="rId22" xr:uid="{56A91181-C167-44EA-BE7E-C8E81E3D8DD8}"/>
  </hyperlink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9E07-F6C5-45EF-B33B-A2515A70FEED}">
  <dimension ref="A1:AF74"/>
  <sheetViews>
    <sheetView topLeftCell="A8" zoomScale="85" zoomScaleNormal="85" workbookViewId="0">
      <selection activeCell="B16" sqref="B16"/>
    </sheetView>
  </sheetViews>
  <sheetFormatPr baseColWidth="10" defaultColWidth="9.109375" defaultRowHeight="14.4"/>
  <cols>
    <col min="1" max="1" width="29.33203125" customWidth="1"/>
    <col min="2" max="2" width="62.5546875" customWidth="1"/>
    <col min="3" max="3" width="26.109375" customWidth="1"/>
    <col min="4" max="4" width="24.33203125" customWidth="1"/>
    <col min="5" max="5" width="9.109375" bestFit="1" customWidth="1"/>
    <col min="6" max="6" width="12.44140625" customWidth="1"/>
    <col min="7" max="7" width="9.109375" bestFit="1" customWidth="1"/>
    <col min="8" max="8" width="14.88671875" customWidth="1"/>
    <col min="9" max="9" width="37.33203125" customWidth="1"/>
    <col min="10" max="10" width="13.6640625" customWidth="1"/>
    <col min="11" max="11" width="12.5546875" customWidth="1"/>
    <col min="12" max="12" width="12.109375" customWidth="1"/>
    <col min="13" max="13" width="19.33203125" customWidth="1"/>
    <col min="14" max="16" width="9.109375" bestFit="1" customWidth="1"/>
    <col min="17" max="17" width="17.109375" customWidth="1"/>
    <col min="18" max="18" width="14.44140625" customWidth="1"/>
    <col min="19" max="20" width="9.109375" bestFit="1" customWidth="1"/>
    <col min="21" max="21" width="17.109375" customWidth="1"/>
    <col min="22" max="22" width="18.109375" customWidth="1"/>
    <col min="23" max="23" width="15.88671875" customWidth="1"/>
    <col min="24" max="24" width="17.88671875" customWidth="1"/>
    <col min="25" max="25" width="11" customWidth="1"/>
    <col min="26" max="26" width="9.109375" bestFit="1" customWidth="1"/>
    <col min="27" max="27" width="16" customWidth="1"/>
    <col min="28" max="28" width="13.88671875" customWidth="1"/>
    <col min="29" max="29" width="13" customWidth="1"/>
    <col min="30" max="30" width="13.33203125" customWidth="1"/>
    <col min="31" max="31" width="12.44140625" customWidth="1"/>
    <col min="32" max="32" width="28" customWidth="1"/>
    <col min="33" max="34" width="11.109375" bestFit="1" customWidth="1"/>
    <col min="35" max="37" width="11.109375" customWidth="1"/>
    <col min="38" max="39" width="11.109375" bestFit="1" customWidth="1"/>
    <col min="40" max="42" width="11.109375" customWidth="1"/>
    <col min="43" max="44" width="11.109375" bestFit="1" customWidth="1"/>
    <col min="45" max="45" width="12" customWidth="1"/>
    <col min="46" max="46" width="14.5546875" customWidth="1"/>
  </cols>
  <sheetData>
    <row r="1" spans="1:32" ht="21">
      <c r="A1" s="6" t="s">
        <v>6</v>
      </c>
      <c r="B1" s="267" t="s">
        <v>7</v>
      </c>
      <c r="C1" s="268"/>
      <c r="D1" s="268"/>
      <c r="E1" s="268"/>
      <c r="F1" s="268"/>
      <c r="G1" s="268"/>
      <c r="H1" s="268"/>
    </row>
    <row r="2" spans="1:32" ht="21">
      <c r="A2" s="6" t="s">
        <v>8</v>
      </c>
      <c r="B2" s="267" t="s">
        <v>9</v>
      </c>
      <c r="C2" s="268"/>
      <c r="D2" s="268"/>
      <c r="E2" s="268"/>
      <c r="F2" s="268"/>
      <c r="G2" s="268"/>
      <c r="H2" s="7"/>
    </row>
    <row r="3" spans="1:32" ht="21">
      <c r="A3" s="6" t="s">
        <v>10</v>
      </c>
      <c r="B3" s="88" t="s">
        <v>11</v>
      </c>
      <c r="C3" s="7"/>
      <c r="D3" s="7"/>
      <c r="E3" s="7"/>
      <c r="F3" s="7"/>
      <c r="G3" s="7"/>
      <c r="H3" s="7"/>
    </row>
    <row r="4" spans="1:32" ht="36.6">
      <c r="A4" s="87" t="s">
        <v>12</v>
      </c>
      <c r="B4" s="88" t="s">
        <v>13</v>
      </c>
      <c r="C4" s="7"/>
      <c r="D4" s="7"/>
      <c r="E4" s="7"/>
      <c r="F4" s="7"/>
      <c r="G4" s="7"/>
      <c r="H4" s="7"/>
    </row>
    <row r="5" spans="1:32" ht="58.2">
      <c r="A5" s="6" t="s">
        <v>14</v>
      </c>
      <c r="B5" s="89" t="s">
        <v>15</v>
      </c>
    </row>
    <row r="6" spans="1:32" ht="15" thickBot="1">
      <c r="A6" s="97"/>
      <c r="B6" s="1"/>
      <c r="C6" s="98"/>
      <c r="D6" s="98"/>
      <c r="E6" s="99"/>
      <c r="F6" s="100"/>
      <c r="G6" s="101"/>
      <c r="H6" s="102"/>
      <c r="I6" s="1"/>
      <c r="J6" s="98"/>
      <c r="K6" s="98"/>
      <c r="L6" s="99"/>
      <c r="M6" s="100"/>
      <c r="N6" s="101"/>
      <c r="O6" s="103"/>
      <c r="P6" s="102"/>
      <c r="Q6" s="1"/>
      <c r="R6" s="98"/>
      <c r="S6" s="104"/>
      <c r="T6" s="103"/>
      <c r="U6" s="105"/>
      <c r="V6" s="105"/>
      <c r="W6" s="105"/>
      <c r="X6" s="106"/>
      <c r="Y6" s="107"/>
      <c r="Z6" s="108"/>
      <c r="AA6" s="108"/>
      <c r="AB6" s="109"/>
      <c r="AC6" s="109"/>
      <c r="AD6" s="109"/>
      <c r="AE6" s="110"/>
      <c r="AF6" s="111"/>
    </row>
    <row r="7" spans="1:32" ht="21.6" thickBot="1">
      <c r="A7" s="23"/>
      <c r="E7" s="225" t="s">
        <v>16</v>
      </c>
      <c r="F7" s="226"/>
      <c r="G7" s="227"/>
      <c r="L7" s="225" t="s">
        <v>16</v>
      </c>
      <c r="M7" s="226"/>
      <c r="N7" s="227"/>
      <c r="Q7" s="228" t="s">
        <v>17</v>
      </c>
      <c r="R7" s="228"/>
      <c r="S7" s="228"/>
      <c r="T7" s="229"/>
      <c r="U7" s="230" t="s">
        <v>18</v>
      </c>
      <c r="V7" s="231"/>
      <c r="W7" s="231"/>
      <c r="X7" s="231"/>
      <c r="Y7" s="232"/>
      <c r="Z7" s="233" t="s">
        <v>19</v>
      </c>
      <c r="AA7" s="234"/>
      <c r="AB7" s="234"/>
      <c r="AC7" s="234"/>
      <c r="AD7" s="235"/>
    </row>
    <row r="8" spans="1:32" ht="90.6" thickBot="1">
      <c r="A8" s="42" t="s">
        <v>20</v>
      </c>
      <c r="B8" s="44" t="s">
        <v>6</v>
      </c>
      <c r="C8" s="17" t="s">
        <v>21</v>
      </c>
      <c r="D8" s="17" t="s">
        <v>22</v>
      </c>
      <c r="E8" s="17"/>
      <c r="F8" s="17"/>
      <c r="G8" s="17"/>
      <c r="H8" s="45" t="s">
        <v>23</v>
      </c>
      <c r="I8" s="44" t="s">
        <v>24</v>
      </c>
      <c r="J8" s="17" t="s">
        <v>21</v>
      </c>
      <c r="K8" s="17" t="s">
        <v>22</v>
      </c>
      <c r="L8" s="14"/>
      <c r="M8" s="14"/>
      <c r="N8" s="14"/>
      <c r="O8" s="14"/>
      <c r="P8" s="53" t="s">
        <v>25</v>
      </c>
      <c r="Q8" s="44" t="s">
        <v>17</v>
      </c>
      <c r="R8" s="14" t="s">
        <v>26</v>
      </c>
      <c r="S8" s="14" t="s">
        <v>27</v>
      </c>
      <c r="T8" s="53" t="s">
        <v>28</v>
      </c>
      <c r="U8" s="44" t="s">
        <v>29</v>
      </c>
      <c r="V8" s="14" t="s">
        <v>30</v>
      </c>
      <c r="W8" s="14" t="s">
        <v>31</v>
      </c>
      <c r="X8" s="14" t="s">
        <v>32</v>
      </c>
      <c r="Y8" s="53" t="s">
        <v>33</v>
      </c>
      <c r="Z8" s="15" t="s">
        <v>34</v>
      </c>
      <c r="AA8" s="14" t="s">
        <v>30</v>
      </c>
      <c r="AB8" s="14" t="s">
        <v>31</v>
      </c>
      <c r="AC8" s="14" t="s">
        <v>32</v>
      </c>
      <c r="AD8" s="53" t="s">
        <v>35</v>
      </c>
      <c r="AE8" s="76" t="s">
        <v>36</v>
      </c>
      <c r="AF8" s="75" t="s">
        <v>37</v>
      </c>
    </row>
    <row r="9" spans="1:32" ht="31.2" thickBot="1">
      <c r="A9" s="248" t="s">
        <v>182</v>
      </c>
      <c r="B9" s="114" t="s">
        <v>151</v>
      </c>
      <c r="C9" s="112">
        <v>45572</v>
      </c>
      <c r="D9" s="112">
        <f ca="1">TODAY()</f>
        <v>46290</v>
      </c>
      <c r="E9" s="34">
        <f ca="1">DATEDIF(C9,D9,"y")</f>
        <v>1</v>
      </c>
      <c r="F9" s="35">
        <f ca="1">DATEDIF(C9,D9,"YM")</f>
        <v>11</v>
      </c>
      <c r="G9" s="36">
        <f ca="1">DATEDIF(C9,D9,"MD")</f>
        <v>18</v>
      </c>
      <c r="H9" s="252">
        <f ca="1">IF(E27&lt;4,0,MIN((E27-4)*5,30))</f>
        <v>0</v>
      </c>
      <c r="I9" s="114"/>
      <c r="J9" s="112"/>
      <c r="K9" s="112"/>
      <c r="L9" s="34"/>
      <c r="M9" s="35"/>
      <c r="N9" s="36"/>
      <c r="O9" s="37"/>
      <c r="P9" s="257" t="e">
        <f>IF(L27&lt;4,0,MIN((L27-4)*10,60))</f>
        <v>#VALUE!</v>
      </c>
      <c r="Q9" s="86"/>
      <c r="R9" s="90"/>
      <c r="S9" s="22"/>
      <c r="T9" s="62"/>
      <c r="U9" s="113" t="s">
        <v>185</v>
      </c>
      <c r="V9" s="113" t="s">
        <v>187</v>
      </c>
      <c r="W9" s="61" t="s">
        <v>186</v>
      </c>
      <c r="X9" s="27">
        <v>44420</v>
      </c>
      <c r="Y9" s="259"/>
      <c r="Z9" s="263"/>
      <c r="AA9" s="236"/>
      <c r="AB9" s="240"/>
      <c r="AC9" s="240"/>
      <c r="AD9" s="244"/>
      <c r="AE9" s="217" t="e">
        <f ca="1">+H9+P9+T27+AD9</f>
        <v>#VALUE!</v>
      </c>
      <c r="AF9" s="221"/>
    </row>
    <row r="10" spans="1:32" ht="28.2" customHeight="1">
      <c r="A10" s="249"/>
      <c r="B10" s="114" t="s">
        <v>152</v>
      </c>
      <c r="C10" s="112">
        <v>45418</v>
      </c>
      <c r="D10" s="112">
        <v>45567</v>
      </c>
      <c r="E10" s="34">
        <f>DATEDIF(C10,D10,"y")</f>
        <v>0</v>
      </c>
      <c r="F10" s="35">
        <f t="shared" ref="F10:F26" si="0">DATEDIF(C10,D10,"YM")</f>
        <v>4</v>
      </c>
      <c r="G10" s="36">
        <f t="shared" ref="G10:G26" si="1">DATEDIF(C10,D10,"MD")</f>
        <v>26</v>
      </c>
      <c r="H10" s="253"/>
      <c r="I10" s="114"/>
      <c r="J10" s="112"/>
      <c r="K10" s="112"/>
      <c r="L10" s="34"/>
      <c r="M10" s="35"/>
      <c r="N10" s="36"/>
      <c r="O10" s="38"/>
      <c r="P10" s="258"/>
      <c r="Q10" s="47"/>
      <c r="R10" s="85"/>
      <c r="S10" s="30"/>
      <c r="T10" s="64"/>
      <c r="U10" s="70"/>
      <c r="V10" s="31"/>
      <c r="W10" s="32"/>
      <c r="X10" s="33"/>
      <c r="Y10" s="260"/>
      <c r="Z10" s="264"/>
      <c r="AA10" s="237"/>
      <c r="AB10" s="241"/>
      <c r="AC10" s="241"/>
      <c r="AD10" s="245"/>
      <c r="AE10" s="218"/>
      <c r="AF10" s="222"/>
    </row>
    <row r="11" spans="1:32" ht="28.2" customHeight="1">
      <c r="A11" s="249"/>
      <c r="B11" s="114" t="s">
        <v>153</v>
      </c>
      <c r="C11" s="112">
        <v>44713</v>
      </c>
      <c r="D11" s="112">
        <v>44895</v>
      </c>
      <c r="E11" s="34">
        <f t="shared" ref="E10:E11" si="2">DATEDIF(C11,D11,"y")</f>
        <v>0</v>
      </c>
      <c r="F11" s="35">
        <f t="shared" si="0"/>
        <v>5</v>
      </c>
      <c r="G11" s="36"/>
      <c r="H11" s="253"/>
      <c r="I11" s="114"/>
      <c r="J11" s="112"/>
      <c r="K11" s="112"/>
      <c r="L11" s="34"/>
      <c r="M11" s="35"/>
      <c r="N11" s="36"/>
      <c r="O11" s="38"/>
      <c r="P11" s="258"/>
      <c r="Q11" s="47"/>
      <c r="R11" s="85"/>
      <c r="S11" s="30"/>
      <c r="T11" s="64"/>
      <c r="U11" s="70"/>
      <c r="V11" s="31"/>
      <c r="W11" s="32"/>
      <c r="X11" s="33"/>
      <c r="Y11" s="260"/>
      <c r="Z11" s="264"/>
      <c r="AA11" s="237"/>
      <c r="AB11" s="241"/>
      <c r="AC11" s="241"/>
      <c r="AD11" s="245"/>
      <c r="AE11" s="218"/>
      <c r="AF11" s="222"/>
    </row>
    <row r="12" spans="1:32" ht="28.2" customHeight="1">
      <c r="A12" s="249"/>
      <c r="B12" s="114" t="s">
        <v>153</v>
      </c>
      <c r="C12" s="112">
        <v>44949</v>
      </c>
      <c r="D12" s="112">
        <v>45068</v>
      </c>
      <c r="E12" s="34">
        <f t="shared" ref="E10:E13" si="3">DATEDIF(C12,D12,"y")</f>
        <v>0</v>
      </c>
      <c r="F12" s="35">
        <f t="shared" si="0"/>
        <v>3</v>
      </c>
      <c r="G12" s="36"/>
      <c r="H12" s="253"/>
      <c r="I12" s="114"/>
      <c r="J12" s="112"/>
      <c r="K12" s="112"/>
      <c r="L12" s="34"/>
      <c r="M12" s="35"/>
      <c r="N12" s="36"/>
      <c r="O12" s="38"/>
      <c r="P12" s="258"/>
      <c r="Q12" s="47"/>
      <c r="R12" s="85"/>
      <c r="S12" s="30"/>
      <c r="T12" s="64"/>
      <c r="U12" s="70"/>
      <c r="V12" s="31"/>
      <c r="W12" s="32"/>
      <c r="X12" s="33"/>
      <c r="Y12" s="260"/>
      <c r="Z12" s="264"/>
      <c r="AA12" s="237"/>
      <c r="AB12" s="241"/>
      <c r="AC12" s="241"/>
      <c r="AD12" s="245"/>
      <c r="AE12" s="218"/>
      <c r="AF12" s="222"/>
    </row>
    <row r="13" spans="1:32" ht="28.2" customHeight="1">
      <c r="A13" s="249"/>
      <c r="B13" s="114" t="s">
        <v>153</v>
      </c>
      <c r="C13" s="112">
        <v>45127</v>
      </c>
      <c r="D13" s="112">
        <v>45279</v>
      </c>
      <c r="E13" s="34">
        <f t="shared" si="3"/>
        <v>0</v>
      </c>
      <c r="F13" s="35">
        <f t="shared" si="0"/>
        <v>4</v>
      </c>
      <c r="G13" s="36"/>
      <c r="H13" s="253"/>
      <c r="I13" s="114"/>
      <c r="J13" s="112"/>
      <c r="K13" s="112"/>
      <c r="L13" s="34"/>
      <c r="M13" s="35"/>
      <c r="N13" s="36"/>
      <c r="O13" s="38"/>
      <c r="P13" s="258"/>
      <c r="Q13" s="47"/>
      <c r="R13" s="85"/>
      <c r="S13" s="30"/>
      <c r="T13" s="64"/>
      <c r="U13" s="70"/>
      <c r="V13" s="31"/>
      <c r="W13" s="32"/>
      <c r="X13" s="33"/>
      <c r="Y13" s="260"/>
      <c r="Z13" s="264"/>
      <c r="AA13" s="237"/>
      <c r="AB13" s="241"/>
      <c r="AC13" s="241"/>
      <c r="AD13" s="245"/>
      <c r="AE13" s="218"/>
      <c r="AF13" s="222"/>
    </row>
    <row r="14" spans="1:32">
      <c r="A14" s="249"/>
      <c r="B14" s="114" t="s">
        <v>153</v>
      </c>
      <c r="C14" s="112">
        <v>45352</v>
      </c>
      <c r="D14" s="112">
        <v>45412</v>
      </c>
      <c r="E14" s="34">
        <f t="shared" ref="E14:E26" si="4">DATEDIF(C14,D14,"y")</f>
        <v>0</v>
      </c>
      <c r="F14" s="35">
        <f t="shared" si="0"/>
        <v>1</v>
      </c>
      <c r="G14" s="36">
        <f t="shared" si="1"/>
        <v>29</v>
      </c>
      <c r="H14" s="253"/>
      <c r="I14" s="114"/>
      <c r="J14" s="112"/>
      <c r="K14" s="112"/>
      <c r="L14" s="34"/>
      <c r="M14" s="35"/>
      <c r="N14" s="36"/>
      <c r="O14" s="38"/>
      <c r="P14" s="258"/>
      <c r="Q14" s="47"/>
      <c r="R14" s="85"/>
      <c r="S14" s="30"/>
      <c r="T14" s="64"/>
      <c r="U14" s="70"/>
      <c r="V14" s="31"/>
      <c r="W14" s="32"/>
      <c r="X14" s="33"/>
      <c r="Y14" s="260"/>
      <c r="Z14" s="264"/>
      <c r="AA14" s="237"/>
      <c r="AB14" s="241"/>
      <c r="AC14" s="241"/>
      <c r="AD14" s="245"/>
      <c r="AE14" s="218"/>
      <c r="AF14" s="222"/>
    </row>
    <row r="15" spans="1:32">
      <c r="A15" s="249"/>
      <c r="B15" s="114" t="s">
        <v>154</v>
      </c>
      <c r="C15" s="112">
        <v>44424</v>
      </c>
      <c r="D15" s="112">
        <v>44712</v>
      </c>
      <c r="E15" s="34">
        <f t="shared" si="4"/>
        <v>0</v>
      </c>
      <c r="F15" s="35">
        <f t="shared" si="0"/>
        <v>9</v>
      </c>
      <c r="G15" s="36">
        <f t="shared" si="1"/>
        <v>15</v>
      </c>
      <c r="H15" s="253"/>
      <c r="I15" s="114"/>
      <c r="J15" s="112"/>
      <c r="K15" s="112"/>
      <c r="L15" s="34"/>
      <c r="M15" s="35"/>
      <c r="N15" s="36"/>
      <c r="O15" s="38"/>
      <c r="P15" s="258"/>
      <c r="Q15" s="47"/>
      <c r="R15" s="85"/>
      <c r="S15" s="30"/>
      <c r="T15" s="64"/>
      <c r="U15" s="70"/>
      <c r="V15" s="31"/>
      <c r="W15" s="32"/>
      <c r="X15" s="33"/>
      <c r="Y15" s="260"/>
      <c r="Z15" s="264"/>
      <c r="AA15" s="237"/>
      <c r="AB15" s="241"/>
      <c r="AC15" s="241"/>
      <c r="AD15" s="245"/>
      <c r="AE15" s="218"/>
      <c r="AF15" s="222"/>
    </row>
    <row r="16" spans="1:32">
      <c r="A16" s="249"/>
      <c r="B16" s="114"/>
      <c r="C16" s="309">
        <v>44166</v>
      </c>
      <c r="D16" s="309">
        <v>44377</v>
      </c>
      <c r="E16" s="34"/>
      <c r="F16" s="35">
        <f t="shared" si="0"/>
        <v>6</v>
      </c>
      <c r="G16" s="36">
        <f t="shared" si="1"/>
        <v>29</v>
      </c>
      <c r="H16" s="253"/>
      <c r="I16" s="114"/>
      <c r="J16" s="112"/>
      <c r="K16" s="112"/>
      <c r="L16" s="34"/>
      <c r="M16" s="35"/>
      <c r="N16" s="36"/>
      <c r="O16" s="38"/>
      <c r="P16" s="258"/>
      <c r="Q16" s="47"/>
      <c r="R16" s="85"/>
      <c r="S16" s="30"/>
      <c r="T16" s="64"/>
      <c r="U16" s="70"/>
      <c r="V16" s="31"/>
      <c r="W16" s="32"/>
      <c r="X16" s="33"/>
      <c r="Y16" s="260"/>
      <c r="Z16" s="264"/>
      <c r="AA16" s="237"/>
      <c r="AB16" s="241"/>
      <c r="AC16" s="241"/>
      <c r="AD16" s="245"/>
      <c r="AE16" s="218"/>
      <c r="AF16" s="222"/>
    </row>
    <row r="17" spans="1:32">
      <c r="A17" s="249"/>
      <c r="B17" s="114"/>
      <c r="C17" s="112"/>
      <c r="D17" s="112"/>
      <c r="E17" s="34"/>
      <c r="F17" s="35"/>
      <c r="G17" s="36"/>
      <c r="H17" s="253"/>
      <c r="I17" s="114"/>
      <c r="J17" s="112"/>
      <c r="K17" s="112"/>
      <c r="L17" s="34"/>
      <c r="M17" s="35"/>
      <c r="N17" s="36"/>
      <c r="O17" s="38"/>
      <c r="P17" s="258"/>
      <c r="Q17" s="47"/>
      <c r="R17" s="85"/>
      <c r="S17" s="30"/>
      <c r="T17" s="64"/>
      <c r="U17" s="70"/>
      <c r="V17" s="31"/>
      <c r="W17" s="32"/>
      <c r="X17" s="33"/>
      <c r="Y17" s="260"/>
      <c r="Z17" s="264"/>
      <c r="AA17" s="237"/>
      <c r="AB17" s="241"/>
      <c r="AC17" s="241"/>
      <c r="AD17" s="245"/>
      <c r="AE17" s="218"/>
      <c r="AF17" s="222"/>
    </row>
    <row r="18" spans="1:32">
      <c r="A18" s="249"/>
      <c r="B18" s="114"/>
      <c r="C18" s="112"/>
      <c r="D18" s="112"/>
      <c r="E18" s="34">
        <f t="shared" si="4"/>
        <v>0</v>
      </c>
      <c r="F18" s="35">
        <f t="shared" si="0"/>
        <v>0</v>
      </c>
      <c r="G18" s="36">
        <f t="shared" si="1"/>
        <v>0</v>
      </c>
      <c r="H18" s="253"/>
      <c r="I18" s="114"/>
      <c r="J18" s="112"/>
      <c r="K18" s="112"/>
      <c r="L18" s="34">
        <f t="shared" ref="L18:L26" si="5">DATEDIF(J18,K18,"y")</f>
        <v>0</v>
      </c>
      <c r="M18" s="35">
        <f t="shared" ref="M18:M26" si="6">DATEDIF(J18,K18,"YM")</f>
        <v>0</v>
      </c>
      <c r="N18" s="36">
        <f t="shared" ref="N18:N26" si="7">DATEDIF(J18,K18,"MD")</f>
        <v>0</v>
      </c>
      <c r="O18" s="38"/>
      <c r="P18" s="258"/>
      <c r="Q18" s="63"/>
      <c r="R18" s="29"/>
      <c r="S18" s="30"/>
      <c r="T18" s="64"/>
      <c r="U18" s="70"/>
      <c r="V18" s="31"/>
      <c r="W18" s="32"/>
      <c r="X18" s="33"/>
      <c r="Y18" s="260"/>
      <c r="Z18" s="264"/>
      <c r="AA18" s="237"/>
      <c r="AB18" s="241"/>
      <c r="AC18" s="241"/>
      <c r="AD18" s="245"/>
      <c r="AE18" s="218"/>
      <c r="AF18" s="222"/>
    </row>
    <row r="19" spans="1:32">
      <c r="A19" s="250"/>
      <c r="B19" s="54"/>
      <c r="C19" s="18"/>
      <c r="D19" s="18"/>
      <c r="E19" s="34">
        <f t="shared" si="4"/>
        <v>0</v>
      </c>
      <c r="F19" s="35">
        <f t="shared" si="0"/>
        <v>0</v>
      </c>
      <c r="G19" s="36">
        <f t="shared" si="1"/>
        <v>0</v>
      </c>
      <c r="H19" s="253"/>
      <c r="I19" s="46"/>
      <c r="J19" s="18"/>
      <c r="K19" s="18"/>
      <c r="L19" s="34">
        <f t="shared" si="5"/>
        <v>0</v>
      </c>
      <c r="M19" s="35">
        <f t="shared" si="6"/>
        <v>0</v>
      </c>
      <c r="N19" s="36">
        <f t="shared" si="7"/>
        <v>0</v>
      </c>
      <c r="O19" s="38"/>
      <c r="P19" s="258"/>
      <c r="Q19" s="63"/>
      <c r="R19" s="29"/>
      <c r="S19" s="30"/>
      <c r="T19" s="64"/>
      <c r="U19" s="70"/>
      <c r="V19" s="31"/>
      <c r="W19" s="32"/>
      <c r="X19" s="33"/>
      <c r="Y19" s="260"/>
      <c r="Z19" s="264"/>
      <c r="AA19" s="237"/>
      <c r="AB19" s="241"/>
      <c r="AC19" s="241"/>
      <c r="AD19" s="245"/>
      <c r="AE19" s="218"/>
      <c r="AF19" s="222"/>
    </row>
    <row r="20" spans="1:32">
      <c r="A20" s="250"/>
      <c r="B20" s="54"/>
      <c r="C20" s="18"/>
      <c r="D20" s="18"/>
      <c r="E20" s="34">
        <f t="shared" si="4"/>
        <v>0</v>
      </c>
      <c r="F20" s="35">
        <f t="shared" si="0"/>
        <v>0</v>
      </c>
      <c r="G20" s="36">
        <f t="shared" si="1"/>
        <v>0</v>
      </c>
      <c r="H20" s="253"/>
      <c r="I20" s="46"/>
      <c r="J20" s="18"/>
      <c r="K20" s="18"/>
      <c r="L20" s="34">
        <f t="shared" si="5"/>
        <v>0</v>
      </c>
      <c r="M20" s="35">
        <f t="shared" si="6"/>
        <v>0</v>
      </c>
      <c r="N20" s="36">
        <f t="shared" si="7"/>
        <v>0</v>
      </c>
      <c r="O20" s="38"/>
      <c r="P20" s="258"/>
      <c r="Q20" s="63"/>
      <c r="R20" s="29"/>
      <c r="S20" s="30"/>
      <c r="T20" s="64"/>
      <c r="U20" s="70"/>
      <c r="V20" s="31"/>
      <c r="W20" s="32"/>
      <c r="X20" s="33"/>
      <c r="Y20" s="260"/>
      <c r="Z20" s="264"/>
      <c r="AA20" s="237"/>
      <c r="AB20" s="241"/>
      <c r="AC20" s="241"/>
      <c r="AD20" s="245"/>
      <c r="AE20" s="218"/>
      <c r="AF20" s="222"/>
    </row>
    <row r="21" spans="1:32">
      <c r="A21" s="250"/>
      <c r="B21" s="54"/>
      <c r="C21" s="18"/>
      <c r="D21" s="18"/>
      <c r="E21" s="34">
        <f t="shared" si="4"/>
        <v>0</v>
      </c>
      <c r="F21" s="35">
        <f t="shared" si="0"/>
        <v>0</v>
      </c>
      <c r="G21" s="36">
        <f t="shared" si="1"/>
        <v>0</v>
      </c>
      <c r="H21" s="253"/>
      <c r="I21" s="46"/>
      <c r="J21" s="18"/>
      <c r="K21" s="18"/>
      <c r="L21" s="34">
        <f t="shared" si="5"/>
        <v>0</v>
      </c>
      <c r="M21" s="35">
        <f t="shared" si="6"/>
        <v>0</v>
      </c>
      <c r="N21" s="36">
        <f t="shared" si="7"/>
        <v>0</v>
      </c>
      <c r="O21" s="38"/>
      <c r="P21" s="258"/>
      <c r="Q21" s="63"/>
      <c r="R21" s="29"/>
      <c r="S21" s="30"/>
      <c r="T21" s="64"/>
      <c r="U21" s="70"/>
      <c r="V21" s="31"/>
      <c r="W21" s="32"/>
      <c r="X21" s="33"/>
      <c r="Y21" s="260"/>
      <c r="Z21" s="264"/>
      <c r="AA21" s="237"/>
      <c r="AB21" s="241"/>
      <c r="AC21" s="241"/>
      <c r="AD21" s="245"/>
      <c r="AE21" s="218"/>
      <c r="AF21" s="222"/>
    </row>
    <row r="22" spans="1:32">
      <c r="A22" s="251"/>
      <c r="B22" s="54"/>
      <c r="C22" s="18"/>
      <c r="D22" s="18"/>
      <c r="E22" s="34">
        <f t="shared" si="4"/>
        <v>0</v>
      </c>
      <c r="F22" s="35">
        <f t="shared" si="0"/>
        <v>0</v>
      </c>
      <c r="G22" s="36">
        <f t="shared" si="1"/>
        <v>0</v>
      </c>
      <c r="H22" s="254"/>
      <c r="I22" s="46"/>
      <c r="J22" s="40"/>
      <c r="K22" s="40"/>
      <c r="L22" s="34">
        <f t="shared" si="5"/>
        <v>0</v>
      </c>
      <c r="M22" s="35">
        <f t="shared" si="6"/>
        <v>0</v>
      </c>
      <c r="N22" s="36">
        <f t="shared" si="7"/>
        <v>0</v>
      </c>
      <c r="O22" s="39"/>
      <c r="P22" s="255"/>
      <c r="Q22" s="65"/>
      <c r="R22" s="24"/>
      <c r="S22" s="19"/>
      <c r="T22" s="66"/>
      <c r="U22" s="71"/>
      <c r="V22" s="20"/>
      <c r="W22" s="25"/>
      <c r="X22" s="21"/>
      <c r="Y22" s="261"/>
      <c r="Z22" s="265"/>
      <c r="AA22" s="238"/>
      <c r="AB22" s="242"/>
      <c r="AC22" s="242"/>
      <c r="AD22" s="246"/>
      <c r="AE22" s="219"/>
      <c r="AF22" s="223"/>
    </row>
    <row r="23" spans="1:32">
      <c r="A23" s="251"/>
      <c r="B23" s="54"/>
      <c r="C23" s="18"/>
      <c r="D23" s="18"/>
      <c r="E23" s="34">
        <f t="shared" si="4"/>
        <v>0</v>
      </c>
      <c r="F23" s="35">
        <f t="shared" si="0"/>
        <v>0</v>
      </c>
      <c r="G23" s="36">
        <f t="shared" si="1"/>
        <v>0</v>
      </c>
      <c r="H23" s="254"/>
      <c r="I23" s="46"/>
      <c r="J23" s="40"/>
      <c r="K23" s="40"/>
      <c r="L23" s="34">
        <f t="shared" si="5"/>
        <v>0</v>
      </c>
      <c r="M23" s="35">
        <f t="shared" si="6"/>
        <v>0</v>
      </c>
      <c r="N23" s="36">
        <f t="shared" si="7"/>
        <v>0</v>
      </c>
      <c r="O23" s="39"/>
      <c r="P23" s="255"/>
      <c r="Q23" s="65"/>
      <c r="R23" s="24"/>
      <c r="S23" s="19"/>
      <c r="T23" s="66"/>
      <c r="U23" s="71"/>
      <c r="V23" s="20"/>
      <c r="W23" s="25"/>
      <c r="X23" s="21"/>
      <c r="Y23" s="261"/>
      <c r="Z23" s="265"/>
      <c r="AA23" s="238"/>
      <c r="AB23" s="242"/>
      <c r="AC23" s="242"/>
      <c r="AD23" s="246"/>
      <c r="AE23" s="219"/>
      <c r="AF23" s="223"/>
    </row>
    <row r="24" spans="1:32">
      <c r="A24" s="251"/>
      <c r="B24" s="54"/>
      <c r="C24" s="18"/>
      <c r="D24" s="18"/>
      <c r="E24" s="34">
        <f t="shared" si="4"/>
        <v>0</v>
      </c>
      <c r="F24" s="35">
        <f t="shared" si="0"/>
        <v>0</v>
      </c>
      <c r="G24" s="36">
        <f t="shared" si="1"/>
        <v>0</v>
      </c>
      <c r="H24" s="254"/>
      <c r="I24" s="46"/>
      <c r="J24" s="40"/>
      <c r="K24" s="40"/>
      <c r="L24" s="34">
        <f t="shared" si="5"/>
        <v>0</v>
      </c>
      <c r="M24" s="35">
        <f t="shared" si="6"/>
        <v>0</v>
      </c>
      <c r="N24" s="36">
        <f t="shared" si="7"/>
        <v>0</v>
      </c>
      <c r="O24" s="39"/>
      <c r="P24" s="255"/>
      <c r="Q24" s="65"/>
      <c r="R24" s="24"/>
      <c r="S24" s="19"/>
      <c r="T24" s="66"/>
      <c r="U24" s="71"/>
      <c r="V24" s="20"/>
      <c r="W24" s="25"/>
      <c r="X24" s="21"/>
      <c r="Y24" s="261"/>
      <c r="Z24" s="265"/>
      <c r="AA24" s="238"/>
      <c r="AB24" s="242"/>
      <c r="AC24" s="242"/>
      <c r="AD24" s="246"/>
      <c r="AE24" s="219"/>
      <c r="AF24" s="223"/>
    </row>
    <row r="25" spans="1:32">
      <c r="A25" s="251"/>
      <c r="B25" s="54"/>
      <c r="C25" s="18"/>
      <c r="D25" s="18"/>
      <c r="E25" s="34">
        <f t="shared" si="4"/>
        <v>0</v>
      </c>
      <c r="F25" s="35">
        <f t="shared" si="0"/>
        <v>0</v>
      </c>
      <c r="G25" s="36">
        <f t="shared" si="1"/>
        <v>0</v>
      </c>
      <c r="H25" s="254"/>
      <c r="I25" s="46"/>
      <c r="J25" s="40"/>
      <c r="K25" s="40"/>
      <c r="L25" s="34">
        <f t="shared" si="5"/>
        <v>0</v>
      </c>
      <c r="M25" s="35">
        <f t="shared" si="6"/>
        <v>0</v>
      </c>
      <c r="N25" s="36">
        <f t="shared" si="7"/>
        <v>0</v>
      </c>
      <c r="O25" s="39"/>
      <c r="P25" s="255"/>
      <c r="Q25" s="65"/>
      <c r="R25" s="26"/>
      <c r="S25" s="19"/>
      <c r="T25" s="66"/>
      <c r="U25" s="71"/>
      <c r="V25" s="20"/>
      <c r="W25" s="25"/>
      <c r="X25" s="21"/>
      <c r="Y25" s="261"/>
      <c r="Z25" s="265"/>
      <c r="AA25" s="238"/>
      <c r="AB25" s="242"/>
      <c r="AC25" s="242"/>
      <c r="AD25" s="246"/>
      <c r="AE25" s="219"/>
      <c r="AF25" s="223"/>
    </row>
    <row r="26" spans="1:32">
      <c r="A26" s="251"/>
      <c r="B26" s="47"/>
      <c r="C26" s="28"/>
      <c r="D26" s="28"/>
      <c r="E26" s="34">
        <f t="shared" si="4"/>
        <v>0</v>
      </c>
      <c r="F26" s="35">
        <f t="shared" si="0"/>
        <v>0</v>
      </c>
      <c r="G26" s="36">
        <f t="shared" si="1"/>
        <v>0</v>
      </c>
      <c r="H26" s="255"/>
      <c r="I26" s="54"/>
      <c r="J26" s="41"/>
      <c r="K26" s="41"/>
      <c r="L26" s="34">
        <f t="shared" si="5"/>
        <v>0</v>
      </c>
      <c r="M26" s="35">
        <f t="shared" si="6"/>
        <v>0</v>
      </c>
      <c r="N26" s="36">
        <f t="shared" si="7"/>
        <v>0</v>
      </c>
      <c r="O26" s="39"/>
      <c r="P26" s="255"/>
      <c r="Q26" s="67"/>
      <c r="R26" s="11"/>
      <c r="S26" s="19"/>
      <c r="T26" s="66"/>
      <c r="U26" s="71"/>
      <c r="V26" s="20"/>
      <c r="W26" s="20"/>
      <c r="X26" s="21"/>
      <c r="Y26" s="261"/>
      <c r="Z26" s="265"/>
      <c r="AA26" s="238"/>
      <c r="AB26" s="242"/>
      <c r="AC26" s="242"/>
      <c r="AD26" s="246"/>
      <c r="AE26" s="219"/>
      <c r="AF26" s="223"/>
    </row>
    <row r="27" spans="1:32" ht="15" thickBot="1">
      <c r="A27" s="43"/>
      <c r="B27" s="48"/>
      <c r="C27" s="49"/>
      <c r="D27" s="49"/>
      <c r="E27" s="50">
        <f ca="1">IF(SUM(E9:E26)+INT(((SUM(F9:F26)+INT(SUM(G9:G26)/30))/12))&lt;1,"0 años",SUM(E9:E26)+INT(((SUM(F9:F26)+INT(SUM(G9:G26)/30))/12)))</f>
        <v>4</v>
      </c>
      <c r="F27" s="51">
        <f ca="1">IF((SUM(F9:F26)+INT(SUM(G9:G26)/30))&gt;12,(((SUM(F9:F26)+INT(SUM(G9:G26)/30))/12)-INT(((SUM(F9:F26)+INT(SUM(G9:G26)/30))/12)))*12,SUM(F9:F26))</f>
        <v>10.000000000000002</v>
      </c>
      <c r="G27" s="52">
        <f ca="1">IF(SUM(G9:G26)&gt;30,((SUM(G9:G26)/30)-INT((SUM(G9:G26)/30)))*30,SUM(G9:G26))</f>
        <v>26.999999999999996</v>
      </c>
      <c r="H27" s="256"/>
      <c r="I27" s="55"/>
      <c r="J27" s="56"/>
      <c r="K27" s="56"/>
      <c r="L27" s="57" t="str">
        <f>IF(SUM(L9:L26)+INT(((SUM(M9:M26)+INT(SUM(N9:N26)/30))/12))&lt;1,"0 años",SUM(L9:L26)+INT(((SUM(M9:M26)+INT(SUM(N9:N26)/30))/12)))</f>
        <v>0 años</v>
      </c>
      <c r="M27" s="58">
        <f>IF((SUM(M9:M26)+INT(SUM(N9:N26)/30))&gt;12,(((SUM(M9:M26)+INT(SUM(N9:N26)/30))/12)-INT(((SUM(M9:M26)+INT(SUM(N9:N26)/30))/12)))*12,SUM(M9:M26))</f>
        <v>0</v>
      </c>
      <c r="N27" s="59">
        <f>IF(SUM(N9:N26)&gt;30,((SUM(N9:N26)/30)-INT((SUM(N9:N26)/30)))*30,SUM(N9:N26))</f>
        <v>0</v>
      </c>
      <c r="O27" s="60"/>
      <c r="P27" s="256"/>
      <c r="Q27" s="48"/>
      <c r="R27" s="49"/>
      <c r="S27" s="68">
        <f>SUM(S9:S26)</f>
        <v>0</v>
      </c>
      <c r="T27" s="69">
        <f>IF(S27&lt;1,0,MIN(S27-1,3))</f>
        <v>0</v>
      </c>
      <c r="U27" s="72"/>
      <c r="V27" s="73"/>
      <c r="W27" s="73"/>
      <c r="X27" s="74"/>
      <c r="Y27" s="262"/>
      <c r="Z27" s="266"/>
      <c r="AA27" s="239"/>
      <c r="AB27" s="243"/>
      <c r="AC27" s="243"/>
      <c r="AD27" s="247"/>
      <c r="AE27" s="220"/>
      <c r="AF27" s="224"/>
    </row>
    <row r="30" spans="1:32" ht="15" thickBot="1">
      <c r="A30" s="97"/>
      <c r="B30" s="1"/>
      <c r="C30" s="98"/>
      <c r="D30" s="98"/>
      <c r="E30" s="99"/>
      <c r="F30" s="100"/>
      <c r="G30" s="101"/>
      <c r="H30" s="102"/>
      <c r="I30" s="1"/>
      <c r="J30" s="98"/>
      <c r="K30" s="98"/>
      <c r="L30" s="99"/>
      <c r="M30" s="100"/>
      <c r="N30" s="101"/>
      <c r="O30" s="103"/>
      <c r="P30" s="102"/>
      <c r="Q30" s="1"/>
      <c r="R30" s="98"/>
      <c r="S30" s="104"/>
      <c r="T30" s="103"/>
      <c r="U30" s="105"/>
      <c r="V30" s="105"/>
      <c r="W30" s="105"/>
      <c r="X30" s="106"/>
      <c r="Y30" s="107"/>
      <c r="Z30" s="108"/>
      <c r="AA30" s="108"/>
      <c r="AB30" s="109"/>
      <c r="AC30" s="109"/>
      <c r="AD30" s="109"/>
      <c r="AE30" s="110"/>
      <c r="AF30" s="111"/>
    </row>
    <row r="31" spans="1:32" ht="21.6" thickBot="1">
      <c r="A31" s="23"/>
      <c r="E31" s="225" t="s">
        <v>16</v>
      </c>
      <c r="F31" s="226"/>
      <c r="G31" s="227"/>
      <c r="L31" s="225" t="s">
        <v>16</v>
      </c>
      <c r="M31" s="226"/>
      <c r="N31" s="227"/>
      <c r="Q31" s="228" t="s">
        <v>17</v>
      </c>
      <c r="R31" s="228"/>
      <c r="S31" s="228"/>
      <c r="T31" s="229"/>
      <c r="U31" s="230" t="s">
        <v>18</v>
      </c>
      <c r="V31" s="231"/>
      <c r="W31" s="231"/>
      <c r="X31" s="231"/>
      <c r="Y31" s="232"/>
      <c r="Z31" s="233" t="s">
        <v>19</v>
      </c>
      <c r="AA31" s="234"/>
      <c r="AB31" s="234"/>
      <c r="AC31" s="234"/>
      <c r="AD31" s="235"/>
    </row>
    <row r="32" spans="1:32" ht="90.6" thickBot="1">
      <c r="A32" s="42" t="s">
        <v>20</v>
      </c>
      <c r="B32" s="44" t="s">
        <v>6</v>
      </c>
      <c r="C32" s="17" t="s">
        <v>21</v>
      </c>
      <c r="D32" s="17" t="s">
        <v>22</v>
      </c>
      <c r="E32" s="17"/>
      <c r="F32" s="17"/>
      <c r="G32" s="17"/>
      <c r="H32" s="45" t="s">
        <v>23</v>
      </c>
      <c r="I32" s="44" t="s">
        <v>24</v>
      </c>
      <c r="J32" s="17" t="s">
        <v>21</v>
      </c>
      <c r="K32" s="17" t="s">
        <v>22</v>
      </c>
      <c r="L32" s="14"/>
      <c r="M32" s="14"/>
      <c r="N32" s="14"/>
      <c r="O32" s="14"/>
      <c r="P32" s="53" t="s">
        <v>25</v>
      </c>
      <c r="Q32" s="44" t="s">
        <v>17</v>
      </c>
      <c r="R32" s="14" t="s">
        <v>26</v>
      </c>
      <c r="S32" s="14" t="s">
        <v>27</v>
      </c>
      <c r="T32" s="53" t="s">
        <v>28</v>
      </c>
      <c r="U32" s="44" t="s">
        <v>29</v>
      </c>
      <c r="V32" s="14" t="s">
        <v>30</v>
      </c>
      <c r="W32" s="14" t="s">
        <v>31</v>
      </c>
      <c r="X32" s="14" t="s">
        <v>32</v>
      </c>
      <c r="Y32" s="53" t="s">
        <v>33</v>
      </c>
      <c r="Z32" s="15" t="s">
        <v>34</v>
      </c>
      <c r="AA32" s="14" t="s">
        <v>30</v>
      </c>
      <c r="AB32" s="14" t="s">
        <v>31</v>
      </c>
      <c r="AC32" s="14" t="s">
        <v>32</v>
      </c>
      <c r="AD32" s="53" t="s">
        <v>35</v>
      </c>
      <c r="AE32" s="76" t="s">
        <v>36</v>
      </c>
      <c r="AF32" s="75" t="s">
        <v>37</v>
      </c>
    </row>
    <row r="33" spans="1:32" ht="58.2" thickBot="1">
      <c r="A33" s="248" t="s">
        <v>224</v>
      </c>
      <c r="B33" s="114" t="s">
        <v>223</v>
      </c>
      <c r="C33" s="311">
        <v>43835</v>
      </c>
      <c r="D33" s="311">
        <v>44301</v>
      </c>
      <c r="E33" s="34">
        <f>DATEDIF(C33,D33,"y")</f>
        <v>1</v>
      </c>
      <c r="F33" s="35">
        <f>DATEDIF(C33,D33,"YM")</f>
        <v>3</v>
      </c>
      <c r="G33" s="36">
        <f>DATEDIF(C33,D33,"MD")</f>
        <v>10</v>
      </c>
      <c r="H33" s="252">
        <f ca="1">IF(E41&lt;4,0,MIN((E41-4)*5,30))</f>
        <v>5</v>
      </c>
      <c r="I33" s="114" t="s">
        <v>155</v>
      </c>
      <c r="J33" s="112">
        <v>44652</v>
      </c>
      <c r="K33" s="112">
        <v>45351</v>
      </c>
      <c r="L33" s="34">
        <f>DATEDIF(J33,K33,"y")</f>
        <v>1</v>
      </c>
      <c r="M33" s="35">
        <f>DATEDIF(J33,K33,"YM")</f>
        <v>10</v>
      </c>
      <c r="N33" s="36">
        <f>DATEDIF(J33,K33,"MD")</f>
        <v>28</v>
      </c>
      <c r="O33" s="37"/>
      <c r="P33" s="257">
        <f>IF(L41&lt;4,0,MIN((L41-4)*10,60))</f>
        <v>0</v>
      </c>
      <c r="Q33" s="86" t="s">
        <v>156</v>
      </c>
      <c r="R33" s="216">
        <v>45351</v>
      </c>
      <c r="S33" s="22">
        <v>1</v>
      </c>
      <c r="T33" s="62"/>
      <c r="U33" s="113" t="s">
        <v>157</v>
      </c>
      <c r="V33" s="113" t="s">
        <v>158</v>
      </c>
      <c r="W33" s="61" t="s">
        <v>159</v>
      </c>
      <c r="X33" s="27">
        <v>44341</v>
      </c>
      <c r="Y33" s="259"/>
      <c r="Z33" s="263"/>
      <c r="AA33" s="236"/>
      <c r="AB33" s="240"/>
      <c r="AC33" s="240"/>
      <c r="AD33" s="244"/>
      <c r="AE33" s="217">
        <f ca="1">+H33+P33+T41+AD33</f>
        <v>8</v>
      </c>
      <c r="AF33" s="221"/>
    </row>
    <row r="34" spans="1:32" ht="27.6">
      <c r="A34" s="249"/>
      <c r="B34" s="114" t="s">
        <v>183</v>
      </c>
      <c r="C34" s="112">
        <v>44652</v>
      </c>
      <c r="D34" s="112">
        <v>45351</v>
      </c>
      <c r="E34" s="34">
        <f>DATEDIF(C34,D34,"y")</f>
        <v>1</v>
      </c>
      <c r="F34" s="35">
        <f>DATEDIF(C34,D34,"YM")</f>
        <v>10</v>
      </c>
      <c r="G34" s="36">
        <f>DATEDIF(C34,D34,"MD")</f>
        <v>28</v>
      </c>
      <c r="H34" s="253"/>
      <c r="I34" s="114"/>
      <c r="J34" s="112"/>
      <c r="K34" s="112"/>
      <c r="L34" s="34"/>
      <c r="M34" s="35"/>
      <c r="N34" s="36"/>
      <c r="O34" s="38"/>
      <c r="P34" s="258"/>
      <c r="Q34" s="47"/>
      <c r="R34" s="216"/>
      <c r="S34" s="30"/>
      <c r="T34" s="64"/>
      <c r="U34" s="307"/>
      <c r="V34" s="307"/>
      <c r="W34" s="310"/>
      <c r="X34" s="29"/>
      <c r="Y34" s="260"/>
      <c r="Z34" s="264"/>
      <c r="AA34" s="237"/>
      <c r="AB34" s="241"/>
      <c r="AC34" s="241"/>
      <c r="AD34" s="245"/>
      <c r="AE34" s="218"/>
      <c r="AF34" s="222"/>
    </row>
    <row r="35" spans="1:32" ht="27.6" customHeight="1">
      <c r="A35" s="249"/>
      <c r="B35" s="114" t="s">
        <v>184</v>
      </c>
      <c r="C35" s="112">
        <v>45352</v>
      </c>
      <c r="D35" s="112">
        <f ca="1">TODAY()</f>
        <v>46290</v>
      </c>
      <c r="E35" s="34">
        <f t="shared" ref="E35:E40" ca="1" si="8">DATEDIF(C35,D35,"y")</f>
        <v>2</v>
      </c>
      <c r="F35" s="35">
        <f t="shared" ref="F35:F40" ca="1" si="9">DATEDIF(C35,D35,"YM")</f>
        <v>6</v>
      </c>
      <c r="G35" s="36">
        <f t="shared" ref="G35:G40" ca="1" si="10">DATEDIF(C35,D35,"MD")</f>
        <v>24</v>
      </c>
      <c r="H35" s="253"/>
      <c r="I35" s="114" t="s">
        <v>160</v>
      </c>
      <c r="J35" s="112">
        <v>45352</v>
      </c>
      <c r="K35" s="112">
        <v>46288</v>
      </c>
      <c r="L35" s="34">
        <f t="shared" ref="L35:L38" si="11">DATEDIF(J35,K35,"y")</f>
        <v>2</v>
      </c>
      <c r="M35" s="35">
        <f t="shared" ref="M35:M40" si="12">DATEDIF(J35,K35,"YM")</f>
        <v>6</v>
      </c>
      <c r="N35" s="36">
        <f t="shared" ref="N35:N40" si="13">DATEDIF(J35,K35,"MD")</f>
        <v>22</v>
      </c>
      <c r="O35" s="38"/>
      <c r="P35" s="258"/>
      <c r="Q35" s="47" t="s">
        <v>161</v>
      </c>
      <c r="R35" s="216">
        <v>45351</v>
      </c>
      <c r="S35" s="30">
        <v>1</v>
      </c>
      <c r="T35" s="64"/>
      <c r="U35" s="70"/>
      <c r="V35" s="31"/>
      <c r="W35" s="32"/>
      <c r="X35" s="33"/>
      <c r="Y35" s="260"/>
      <c r="Z35" s="264"/>
      <c r="AA35" s="237"/>
      <c r="AB35" s="241"/>
      <c r="AC35" s="241"/>
      <c r="AD35" s="245"/>
      <c r="AE35" s="218"/>
      <c r="AF35" s="222"/>
    </row>
    <row r="36" spans="1:32" ht="43.2">
      <c r="A36" s="249"/>
      <c r="B36" s="114"/>
      <c r="C36" s="112"/>
      <c r="D36" s="112"/>
      <c r="E36" s="34"/>
      <c r="F36" s="35"/>
      <c r="G36" s="36"/>
      <c r="H36" s="253"/>
      <c r="I36" s="114"/>
      <c r="J36" s="112"/>
      <c r="K36" s="112"/>
      <c r="L36" s="34">
        <f t="shared" si="11"/>
        <v>0</v>
      </c>
      <c r="M36" s="35">
        <f t="shared" si="12"/>
        <v>0</v>
      </c>
      <c r="N36" s="36">
        <f t="shared" si="13"/>
        <v>0</v>
      </c>
      <c r="O36" s="38"/>
      <c r="P36" s="258"/>
      <c r="Q36" s="47" t="s">
        <v>162</v>
      </c>
      <c r="R36" s="216">
        <v>45351</v>
      </c>
      <c r="S36" s="30">
        <v>1</v>
      </c>
      <c r="T36" s="64"/>
      <c r="U36" s="70"/>
      <c r="V36" s="31"/>
      <c r="W36" s="32"/>
      <c r="X36" s="33"/>
      <c r="Y36" s="260"/>
      <c r="Z36" s="264"/>
      <c r="AA36" s="237"/>
      <c r="AB36" s="241"/>
      <c r="AC36" s="241"/>
      <c r="AD36" s="245"/>
      <c r="AE36" s="218"/>
      <c r="AF36" s="222"/>
    </row>
    <row r="37" spans="1:32" ht="28.8">
      <c r="A37" s="249"/>
      <c r="B37" s="114"/>
      <c r="C37" s="112"/>
      <c r="D37" s="112"/>
      <c r="E37" s="34">
        <f t="shared" si="8"/>
        <v>0</v>
      </c>
      <c r="F37" s="35">
        <f t="shared" si="9"/>
        <v>0</v>
      </c>
      <c r="G37" s="36">
        <f t="shared" si="10"/>
        <v>0</v>
      </c>
      <c r="H37" s="253"/>
      <c r="I37" s="114"/>
      <c r="J37" s="112"/>
      <c r="K37" s="112"/>
      <c r="L37" s="34">
        <f t="shared" si="11"/>
        <v>0</v>
      </c>
      <c r="M37" s="35">
        <f t="shared" si="12"/>
        <v>0</v>
      </c>
      <c r="N37" s="36">
        <f t="shared" si="13"/>
        <v>0</v>
      </c>
      <c r="O37" s="38"/>
      <c r="P37" s="258"/>
      <c r="Q37" s="47" t="s">
        <v>163</v>
      </c>
      <c r="R37" s="216">
        <v>45351</v>
      </c>
      <c r="S37" s="30">
        <v>1</v>
      </c>
      <c r="T37" s="64"/>
      <c r="U37" s="70"/>
      <c r="V37" s="31"/>
      <c r="W37" s="32"/>
      <c r="X37" s="33"/>
      <c r="Y37" s="260"/>
      <c r="Z37" s="264"/>
      <c r="AA37" s="237"/>
      <c r="AB37" s="241"/>
      <c r="AC37" s="241"/>
      <c r="AD37" s="245"/>
      <c r="AE37" s="218"/>
      <c r="AF37" s="222"/>
    </row>
    <row r="38" spans="1:32">
      <c r="A38" s="249"/>
      <c r="B38" s="114"/>
      <c r="C38" s="112"/>
      <c r="D38" s="112"/>
      <c r="E38" s="34">
        <f>DATEDIF(C38,D38,"y")</f>
        <v>0</v>
      </c>
      <c r="F38" s="35">
        <f>DATEDIF(C38,D38,"YM")</f>
        <v>0</v>
      </c>
      <c r="G38" s="36">
        <f>DATEDIF(C38,D38,"MD")</f>
        <v>0</v>
      </c>
      <c r="H38" s="253"/>
      <c r="I38" s="114"/>
      <c r="J38" s="112"/>
      <c r="K38" s="112"/>
      <c r="L38" s="34">
        <f t="shared" si="11"/>
        <v>0</v>
      </c>
      <c r="M38" s="35">
        <f t="shared" si="12"/>
        <v>0</v>
      </c>
      <c r="N38" s="36">
        <f t="shared" si="13"/>
        <v>0</v>
      </c>
      <c r="O38" s="38"/>
      <c r="P38" s="258"/>
      <c r="Q38" s="47"/>
      <c r="R38" s="216"/>
      <c r="S38" s="30"/>
      <c r="T38" s="64"/>
      <c r="U38" s="70"/>
      <c r="V38" s="31"/>
      <c r="W38" s="32"/>
      <c r="X38" s="33"/>
      <c r="Y38" s="260"/>
      <c r="Z38" s="264"/>
      <c r="AA38" s="237"/>
      <c r="AB38" s="241"/>
      <c r="AC38" s="241"/>
      <c r="AD38" s="245"/>
      <c r="AE38" s="218"/>
      <c r="AF38" s="222"/>
    </row>
    <row r="39" spans="1:32">
      <c r="A39" s="249"/>
      <c r="B39" s="114"/>
      <c r="C39" s="112"/>
      <c r="D39" s="112"/>
      <c r="E39" s="34">
        <f>DATEDIF(C39,D39,"y")</f>
        <v>0</v>
      </c>
      <c r="F39" s="35">
        <f>DATEDIF(C39,D39,"YM")</f>
        <v>0</v>
      </c>
      <c r="G39" s="36">
        <f>DATEDIF(C39,D39,"MD")</f>
        <v>0</v>
      </c>
      <c r="H39" s="253"/>
      <c r="I39" s="114"/>
      <c r="J39" s="112"/>
      <c r="K39" s="112"/>
      <c r="L39" s="34"/>
      <c r="M39" s="35">
        <f t="shared" si="12"/>
        <v>0</v>
      </c>
      <c r="N39" s="36">
        <f t="shared" si="13"/>
        <v>0</v>
      </c>
      <c r="O39" s="38"/>
      <c r="P39" s="258"/>
      <c r="Q39" s="47"/>
      <c r="R39" s="85"/>
      <c r="S39" s="30"/>
      <c r="T39" s="64"/>
      <c r="U39" s="70"/>
      <c r="V39" s="31"/>
      <c r="W39" s="32"/>
      <c r="X39" s="33"/>
      <c r="Y39" s="260"/>
      <c r="Z39" s="264"/>
      <c r="AA39" s="237"/>
      <c r="AB39" s="241"/>
      <c r="AC39" s="241"/>
      <c r="AD39" s="245"/>
      <c r="AE39" s="218"/>
      <c r="AF39" s="222"/>
    </row>
    <row r="40" spans="1:32">
      <c r="A40" s="249"/>
      <c r="B40" s="114"/>
      <c r="C40" s="112"/>
      <c r="D40" s="112"/>
      <c r="E40" s="34">
        <f t="shared" si="8"/>
        <v>0</v>
      </c>
      <c r="F40" s="35">
        <f t="shared" si="9"/>
        <v>0</v>
      </c>
      <c r="G40" s="36">
        <f t="shared" si="10"/>
        <v>0</v>
      </c>
      <c r="H40" s="253"/>
      <c r="I40" s="114"/>
      <c r="J40" s="112"/>
      <c r="K40" s="112"/>
      <c r="L40" s="34">
        <f t="shared" ref="L40" si="14">DATEDIF(J40,K40,"y")</f>
        <v>0</v>
      </c>
      <c r="M40" s="35">
        <f t="shared" si="12"/>
        <v>0</v>
      </c>
      <c r="N40" s="36">
        <f t="shared" si="13"/>
        <v>0</v>
      </c>
      <c r="O40" s="38"/>
      <c r="P40" s="258"/>
      <c r="Q40" s="63"/>
      <c r="R40" s="29"/>
      <c r="S40" s="30"/>
      <c r="T40" s="64"/>
      <c r="U40" s="70"/>
      <c r="V40" s="31"/>
      <c r="W40" s="32"/>
      <c r="X40" s="33"/>
      <c r="Y40" s="260"/>
      <c r="Z40" s="264"/>
      <c r="AA40" s="237"/>
      <c r="AB40" s="241"/>
      <c r="AC40" s="241"/>
      <c r="AD40" s="245"/>
      <c r="AE40" s="218"/>
      <c r="AF40" s="222"/>
    </row>
    <row r="41" spans="1:32" ht="15" thickBot="1">
      <c r="A41" s="43"/>
      <c r="B41" s="48"/>
      <c r="C41" s="49"/>
      <c r="D41" s="49"/>
      <c r="E41" s="50">
        <f ca="1">IF(SUM(E33:E40)+INT(((SUM(F33:F40)+INT(SUM(G33:G40)/30))/12))&lt;1,"0 años",SUM(E33:E40)+INT(((SUM(F33:F40)+INT(SUM(G33:G40)/30))/12)))</f>
        <v>5</v>
      </c>
      <c r="F41" s="51">
        <f ca="1">IF((SUM(F33:F40)+INT(SUM(G33:G40)/30))&gt;12,(((SUM(F33:F40)+INT(SUM(G33:G40)/30))/12)-INT(((SUM(F33:F40)+INT(SUM(G33:G40)/30))/12)))*12,SUM(F33:F40))</f>
        <v>9</v>
      </c>
      <c r="G41" s="52">
        <f ca="1">IF(SUM(G33:G40)&gt;30,((SUM(G33:G40)/30)-INT((SUM(G33:G40)/30)))*30,SUM(G33:G40))</f>
        <v>2.0000000000000062</v>
      </c>
      <c r="H41" s="256"/>
      <c r="I41" s="55"/>
      <c r="J41" s="56"/>
      <c r="K41" s="56"/>
      <c r="L41" s="57">
        <f>IF(SUM(L33:L40)+INT(((SUM(M33:M40)+INT(SUM(N33:N40)/30))/12))&lt;1,"0 años",SUM(L33:L40)+INT(((SUM(M33:M40)+INT(SUM(N33:N40)/30))/12)))</f>
        <v>4</v>
      </c>
      <c r="M41" s="58">
        <f>IF((SUM(M33:M40)+INT(SUM(N33:N40)/30))&gt;12,(((SUM(M33:M40)+INT(SUM(N33:N40)/30))/12)-INT(((SUM(M33:M40)+INT(SUM(N33:N40)/30))/12)))*12,SUM(M33:M40))</f>
        <v>5.0000000000000009</v>
      </c>
      <c r="N41" s="59">
        <f>IF(SUM(N33:N40)&gt;30,((SUM(N33:N40)/30)-INT((SUM(N33:N40)/30)))*30,SUM(N33:N40))</f>
        <v>20.000000000000004</v>
      </c>
      <c r="O41" s="60"/>
      <c r="P41" s="256"/>
      <c r="Q41" s="48"/>
      <c r="R41" s="49"/>
      <c r="S41" s="68">
        <f>SUM(S33:S40)</f>
        <v>4</v>
      </c>
      <c r="T41" s="69">
        <f>IF(S41&lt;1,0,MIN(S41-1,3))</f>
        <v>3</v>
      </c>
      <c r="U41" s="72"/>
      <c r="V41" s="73"/>
      <c r="W41" s="73"/>
      <c r="X41" s="74"/>
      <c r="Y41" s="262"/>
      <c r="Z41" s="266"/>
      <c r="AA41" s="239"/>
      <c r="AB41" s="243"/>
      <c r="AC41" s="243"/>
      <c r="AD41" s="247"/>
      <c r="AE41" s="220"/>
      <c r="AF41" s="224"/>
    </row>
    <row r="43" spans="1:32" ht="15" thickBot="1">
      <c r="A43" s="97"/>
      <c r="B43" s="1"/>
      <c r="C43" s="98"/>
      <c r="D43" s="98"/>
      <c r="E43" s="99"/>
      <c r="F43" s="100"/>
      <c r="G43" s="101"/>
      <c r="H43" s="102"/>
      <c r="I43" s="1"/>
      <c r="J43" s="98"/>
      <c r="K43" s="98"/>
      <c r="L43" s="99"/>
      <c r="M43" s="100"/>
      <c r="N43" s="101"/>
      <c r="O43" s="103"/>
      <c r="P43" s="102"/>
      <c r="Q43" s="1"/>
      <c r="R43" s="98"/>
      <c r="S43" s="104"/>
      <c r="T43" s="103"/>
      <c r="U43" s="105"/>
      <c r="V43" s="105"/>
      <c r="W43" s="105"/>
      <c r="X43" s="106"/>
      <c r="Y43" s="107"/>
      <c r="Z43" s="108"/>
      <c r="AA43" s="108"/>
      <c r="AB43" s="109"/>
      <c r="AC43" s="109"/>
      <c r="AD43" s="109"/>
      <c r="AE43" s="110"/>
      <c r="AF43" s="111"/>
    </row>
    <row r="44" spans="1:32" ht="21.6" thickBot="1">
      <c r="A44" s="23"/>
      <c r="E44" s="225" t="s">
        <v>16</v>
      </c>
      <c r="F44" s="226"/>
      <c r="G44" s="227"/>
      <c r="L44" s="225" t="s">
        <v>16</v>
      </c>
      <c r="M44" s="226"/>
      <c r="N44" s="227"/>
      <c r="Q44" s="228" t="s">
        <v>17</v>
      </c>
      <c r="R44" s="228"/>
      <c r="S44" s="228"/>
      <c r="T44" s="229"/>
      <c r="U44" s="230" t="s">
        <v>18</v>
      </c>
      <c r="V44" s="231"/>
      <c r="W44" s="231"/>
      <c r="X44" s="231"/>
      <c r="Y44" s="232"/>
      <c r="Z44" s="233" t="s">
        <v>19</v>
      </c>
      <c r="AA44" s="234"/>
      <c r="AB44" s="234"/>
      <c r="AC44" s="234"/>
      <c r="AD44" s="235"/>
    </row>
    <row r="45" spans="1:32" ht="90.6" thickBot="1">
      <c r="A45" s="42" t="s">
        <v>20</v>
      </c>
      <c r="B45" s="44" t="s">
        <v>6</v>
      </c>
      <c r="C45" s="17" t="s">
        <v>21</v>
      </c>
      <c r="D45" s="17" t="s">
        <v>22</v>
      </c>
      <c r="E45" s="17"/>
      <c r="F45" s="17"/>
      <c r="G45" s="17"/>
      <c r="H45" s="45" t="s">
        <v>23</v>
      </c>
      <c r="I45" s="44" t="s">
        <v>24</v>
      </c>
      <c r="J45" s="17" t="s">
        <v>21</v>
      </c>
      <c r="K45" s="17" t="s">
        <v>22</v>
      </c>
      <c r="L45" s="14"/>
      <c r="M45" s="14"/>
      <c r="N45" s="14"/>
      <c r="O45" s="14"/>
      <c r="P45" s="53" t="s">
        <v>25</v>
      </c>
      <c r="Q45" s="44" t="s">
        <v>17</v>
      </c>
      <c r="R45" s="14" t="s">
        <v>26</v>
      </c>
      <c r="S45" s="14" t="s">
        <v>27</v>
      </c>
      <c r="T45" s="53" t="s">
        <v>28</v>
      </c>
      <c r="U45" s="44" t="s">
        <v>29</v>
      </c>
      <c r="V45" s="14" t="s">
        <v>30</v>
      </c>
      <c r="W45" s="14" t="s">
        <v>31</v>
      </c>
      <c r="X45" s="14" t="s">
        <v>32</v>
      </c>
      <c r="Y45" s="53" t="s">
        <v>33</v>
      </c>
      <c r="Z45" s="15" t="s">
        <v>34</v>
      </c>
      <c r="AA45" s="14" t="s">
        <v>30</v>
      </c>
      <c r="AB45" s="14" t="s">
        <v>31</v>
      </c>
      <c r="AC45" s="14" t="s">
        <v>32</v>
      </c>
      <c r="AD45" s="53" t="s">
        <v>35</v>
      </c>
      <c r="AE45" s="76" t="s">
        <v>36</v>
      </c>
      <c r="AF45" s="75" t="s">
        <v>37</v>
      </c>
    </row>
    <row r="46" spans="1:32" ht="42" thickBot="1">
      <c r="A46" s="303" t="s">
        <v>211</v>
      </c>
      <c r="B46" s="300" t="s">
        <v>204</v>
      </c>
      <c r="C46" s="215">
        <v>45957</v>
      </c>
      <c r="D46" s="215">
        <v>46249</v>
      </c>
      <c r="E46" s="138">
        <f>DATEDIF(C46,D46,"y")</f>
        <v>0</v>
      </c>
      <c r="F46" s="139">
        <f>DATEDIF(C46,D46,"YM")</f>
        <v>9</v>
      </c>
      <c r="G46" s="140">
        <f>DATEDIF(C46,D46,"MD")</f>
        <v>19</v>
      </c>
      <c r="H46" s="252" t="e">
        <f>IF(E54&lt;4,0,MIN((E54-4)*5,30))</f>
        <v>#NUM!</v>
      </c>
      <c r="I46" s="114"/>
      <c r="J46" s="112"/>
      <c r="K46" s="112"/>
      <c r="L46" s="34">
        <f>DATEDIF(J46,K46,"y")</f>
        <v>0</v>
      </c>
      <c r="M46" s="35">
        <f>DATEDIF(J46,K46,"YM")</f>
        <v>0</v>
      </c>
      <c r="N46" s="36">
        <f>DATEDIF(J46,K46,"MD")</f>
        <v>0</v>
      </c>
      <c r="O46" s="37"/>
      <c r="P46" s="257" t="e">
        <f>IF(L54&lt;4,0,MIN((L54-4)*10,60))</f>
        <v>#VALUE!</v>
      </c>
      <c r="Q46" s="86" t="s">
        <v>210</v>
      </c>
      <c r="R46" s="90"/>
      <c r="S46" s="22"/>
      <c r="T46" s="62"/>
      <c r="U46" s="113" t="s">
        <v>198</v>
      </c>
      <c r="V46" s="113" t="s">
        <v>199</v>
      </c>
      <c r="W46" s="61" t="s">
        <v>200</v>
      </c>
      <c r="X46" s="27">
        <v>40746</v>
      </c>
      <c r="Y46" s="259"/>
      <c r="Z46" s="278" t="s">
        <v>201</v>
      </c>
      <c r="AA46" s="282" t="s">
        <v>202</v>
      </c>
      <c r="AB46" s="286">
        <v>7241192646</v>
      </c>
      <c r="AC46" s="290">
        <v>44599</v>
      </c>
      <c r="AD46" s="244"/>
      <c r="AE46" s="217" t="e">
        <f>+H46+P46+T54+AD46</f>
        <v>#NUM!</v>
      </c>
      <c r="AF46" s="221"/>
    </row>
    <row r="47" spans="1:32" ht="41.4">
      <c r="A47" s="304"/>
      <c r="B47" s="301" t="s">
        <v>205</v>
      </c>
      <c r="C47" s="18">
        <v>42193</v>
      </c>
      <c r="D47" s="306"/>
      <c r="E47" s="34" t="e">
        <f t="shared" ref="E47:E53" si="15">DATEDIF(C47,D47,"y")</f>
        <v>#NUM!</v>
      </c>
      <c r="F47" s="35" t="e">
        <f t="shared" ref="F47:F53" si="16">DATEDIF(C47,D47,"YM")</f>
        <v>#NUM!</v>
      </c>
      <c r="G47" s="141" t="e">
        <f t="shared" ref="G47:G53" si="17">DATEDIF(C47,D47,"MD")</f>
        <v>#NUM!</v>
      </c>
      <c r="H47" s="253"/>
      <c r="I47" s="114"/>
      <c r="J47" s="112"/>
      <c r="K47" s="112"/>
      <c r="L47" s="34">
        <f t="shared" ref="L47:L50" si="18">DATEDIF(J47,K47,"y")</f>
        <v>0</v>
      </c>
      <c r="M47" s="35">
        <f t="shared" ref="M47:M53" si="19">DATEDIF(J47,K47,"YM")</f>
        <v>0</v>
      </c>
      <c r="N47" s="36">
        <f t="shared" ref="N47:N53" si="20">DATEDIF(J47,K47,"MD")</f>
        <v>0</v>
      </c>
      <c r="O47" s="38"/>
      <c r="P47" s="258"/>
      <c r="Q47" s="47"/>
      <c r="R47" s="85"/>
      <c r="S47" s="30"/>
      <c r="T47" s="64"/>
      <c r="U47" s="70"/>
      <c r="V47" s="31"/>
      <c r="W47" s="32"/>
      <c r="X47" s="33"/>
      <c r="Y47" s="260"/>
      <c r="Z47" s="279"/>
      <c r="AA47" s="283"/>
      <c r="AB47" s="287"/>
      <c r="AC47" s="287"/>
      <c r="AD47" s="245"/>
      <c r="AE47" s="218"/>
      <c r="AF47" s="222"/>
    </row>
    <row r="48" spans="1:32" ht="41.4">
      <c r="A48" s="304"/>
      <c r="B48" s="301" t="s">
        <v>206</v>
      </c>
      <c r="C48" s="18">
        <v>41275</v>
      </c>
      <c r="D48" s="18">
        <v>42185</v>
      </c>
      <c r="E48" s="34">
        <f t="shared" si="15"/>
        <v>2</v>
      </c>
      <c r="F48" s="35">
        <f t="shared" si="16"/>
        <v>5</v>
      </c>
      <c r="G48" s="141">
        <f t="shared" si="17"/>
        <v>29</v>
      </c>
      <c r="H48" s="253"/>
      <c r="I48" s="114"/>
      <c r="J48" s="112"/>
      <c r="K48" s="112"/>
      <c r="L48" s="34">
        <f t="shared" si="18"/>
        <v>0</v>
      </c>
      <c r="M48" s="35">
        <f t="shared" si="19"/>
        <v>0</v>
      </c>
      <c r="N48" s="36">
        <f t="shared" si="20"/>
        <v>0</v>
      </c>
      <c r="O48" s="38"/>
      <c r="P48" s="258"/>
      <c r="Q48" s="47"/>
      <c r="R48" s="85"/>
      <c r="S48" s="30"/>
      <c r="T48" s="64"/>
      <c r="U48" s="70"/>
      <c r="V48" s="31"/>
      <c r="W48" s="32"/>
      <c r="X48" s="33"/>
      <c r="Y48" s="260"/>
      <c r="Z48" s="279"/>
      <c r="AA48" s="283"/>
      <c r="AB48" s="287"/>
      <c r="AC48" s="287"/>
      <c r="AD48" s="245"/>
      <c r="AE48" s="218"/>
      <c r="AF48" s="222"/>
    </row>
    <row r="49" spans="1:32" ht="28.8">
      <c r="A49" s="304"/>
      <c r="B49" s="54" t="s">
        <v>207</v>
      </c>
      <c r="C49" s="18">
        <v>39661</v>
      </c>
      <c r="D49" s="18">
        <v>40482</v>
      </c>
      <c r="E49" s="34">
        <f t="shared" si="15"/>
        <v>2</v>
      </c>
      <c r="F49" s="35">
        <f t="shared" si="16"/>
        <v>2</v>
      </c>
      <c r="G49" s="141">
        <f t="shared" si="17"/>
        <v>30</v>
      </c>
      <c r="H49" s="253"/>
      <c r="I49" s="114"/>
      <c r="J49" s="112"/>
      <c r="K49" s="112"/>
      <c r="L49" s="34">
        <f t="shared" si="18"/>
        <v>0</v>
      </c>
      <c r="M49" s="35">
        <f t="shared" si="19"/>
        <v>0</v>
      </c>
      <c r="N49" s="36">
        <f t="shared" si="20"/>
        <v>0</v>
      </c>
      <c r="O49" s="38"/>
      <c r="P49" s="258"/>
      <c r="Q49" s="47"/>
      <c r="R49" s="85"/>
      <c r="S49" s="30"/>
      <c r="T49" s="64"/>
      <c r="U49" s="70"/>
      <c r="V49" s="31"/>
      <c r="W49" s="32"/>
      <c r="X49" s="33"/>
      <c r="Y49" s="260"/>
      <c r="Z49" s="279"/>
      <c r="AA49" s="283"/>
      <c r="AB49" s="287"/>
      <c r="AC49" s="287"/>
      <c r="AD49" s="245"/>
      <c r="AE49" s="218"/>
      <c r="AF49" s="222"/>
    </row>
    <row r="50" spans="1:32" ht="27.6">
      <c r="A50" s="304"/>
      <c r="B50" s="301" t="s">
        <v>208</v>
      </c>
      <c r="C50" s="18">
        <v>39295</v>
      </c>
      <c r="D50" s="18">
        <v>39660</v>
      </c>
      <c r="E50" s="34">
        <f t="shared" si="15"/>
        <v>0</v>
      </c>
      <c r="F50" s="35">
        <f t="shared" si="16"/>
        <v>11</v>
      </c>
      <c r="G50" s="141">
        <f t="shared" si="17"/>
        <v>30</v>
      </c>
      <c r="H50" s="253"/>
      <c r="I50" s="114"/>
      <c r="J50" s="112"/>
      <c r="K50" s="112"/>
      <c r="L50" s="34">
        <f t="shared" si="18"/>
        <v>0</v>
      </c>
      <c r="M50" s="35">
        <f t="shared" si="19"/>
        <v>0</v>
      </c>
      <c r="N50" s="36">
        <f t="shared" si="20"/>
        <v>0</v>
      </c>
      <c r="O50" s="38"/>
      <c r="P50" s="258"/>
      <c r="Q50" s="47"/>
      <c r="R50" s="85"/>
      <c r="S50" s="30"/>
      <c r="T50" s="64"/>
      <c r="U50" s="70"/>
      <c r="V50" s="31"/>
      <c r="W50" s="32"/>
      <c r="X50" s="33"/>
      <c r="Y50" s="260"/>
      <c r="Z50" s="279"/>
      <c r="AA50" s="283"/>
      <c r="AB50" s="287"/>
      <c r="AC50" s="287"/>
      <c r="AD50" s="245"/>
      <c r="AE50" s="218"/>
      <c r="AF50" s="222"/>
    </row>
    <row r="51" spans="1:32" ht="27.6">
      <c r="A51" s="304"/>
      <c r="B51" s="301" t="s">
        <v>209</v>
      </c>
      <c r="C51" s="18">
        <v>38903</v>
      </c>
      <c r="D51" s="18">
        <v>39294</v>
      </c>
      <c r="E51" s="34">
        <f t="shared" si="15"/>
        <v>1</v>
      </c>
      <c r="F51" s="35">
        <f t="shared" si="16"/>
        <v>0</v>
      </c>
      <c r="G51" s="141">
        <f t="shared" si="17"/>
        <v>26</v>
      </c>
      <c r="H51" s="253"/>
      <c r="I51" s="114"/>
      <c r="J51" s="112"/>
      <c r="K51" s="112"/>
      <c r="L51" s="34"/>
      <c r="M51" s="35">
        <f t="shared" si="19"/>
        <v>0</v>
      </c>
      <c r="N51" s="36">
        <f t="shared" si="20"/>
        <v>0</v>
      </c>
      <c r="O51" s="38"/>
      <c r="P51" s="258"/>
      <c r="Q51" s="47"/>
      <c r="R51" s="85"/>
      <c r="S51" s="30"/>
      <c r="T51" s="64"/>
      <c r="U51" s="70"/>
      <c r="V51" s="31"/>
      <c r="W51" s="32"/>
      <c r="X51" s="33"/>
      <c r="Y51" s="260"/>
      <c r="Z51" s="279"/>
      <c r="AA51" s="283"/>
      <c r="AB51" s="287"/>
      <c r="AC51" s="287"/>
      <c r="AD51" s="245"/>
      <c r="AE51" s="218"/>
      <c r="AF51" s="222"/>
    </row>
    <row r="52" spans="1:32">
      <c r="A52" s="304"/>
      <c r="B52" s="301"/>
      <c r="C52" s="18"/>
      <c r="D52" s="18"/>
      <c r="E52" s="34">
        <f t="shared" si="15"/>
        <v>0</v>
      </c>
      <c r="F52" s="35">
        <f t="shared" si="16"/>
        <v>0</v>
      </c>
      <c r="G52" s="141">
        <f t="shared" si="17"/>
        <v>0</v>
      </c>
      <c r="H52" s="253"/>
      <c r="I52" s="114"/>
      <c r="J52" s="112"/>
      <c r="K52" s="112"/>
      <c r="L52" s="34">
        <f t="shared" ref="L52:L53" si="21">DATEDIF(J52,K52,"y")</f>
        <v>0</v>
      </c>
      <c r="M52" s="35">
        <f t="shared" si="19"/>
        <v>0</v>
      </c>
      <c r="N52" s="36">
        <f t="shared" si="20"/>
        <v>0</v>
      </c>
      <c r="O52" s="38"/>
      <c r="P52" s="258"/>
      <c r="Q52" s="63"/>
      <c r="R52" s="29"/>
      <c r="S52" s="30"/>
      <c r="T52" s="64"/>
      <c r="U52" s="70"/>
      <c r="V52" s="31"/>
      <c r="W52" s="32"/>
      <c r="X52" s="33"/>
      <c r="Y52" s="260"/>
      <c r="Z52" s="279"/>
      <c r="AA52" s="283"/>
      <c r="AB52" s="287"/>
      <c r="AC52" s="287"/>
      <c r="AD52" s="245"/>
      <c r="AE52" s="218"/>
      <c r="AF52" s="222"/>
    </row>
    <row r="53" spans="1:32" ht="15" thickBot="1">
      <c r="A53" s="305"/>
      <c r="B53" s="54"/>
      <c r="C53" s="18"/>
      <c r="D53" s="18"/>
      <c r="E53" s="34">
        <f t="shared" si="15"/>
        <v>0</v>
      </c>
      <c r="F53" s="35">
        <f t="shared" si="16"/>
        <v>0</v>
      </c>
      <c r="G53" s="141">
        <f t="shared" si="17"/>
        <v>0</v>
      </c>
      <c r="H53" s="254"/>
      <c r="I53" s="54"/>
      <c r="J53" s="41"/>
      <c r="K53" s="41"/>
      <c r="L53" s="34">
        <f t="shared" si="21"/>
        <v>0</v>
      </c>
      <c r="M53" s="35">
        <f t="shared" si="19"/>
        <v>0</v>
      </c>
      <c r="N53" s="36">
        <f t="shared" si="20"/>
        <v>0</v>
      </c>
      <c r="O53" s="39"/>
      <c r="P53" s="255"/>
      <c r="Q53" s="67"/>
      <c r="R53" s="11"/>
      <c r="S53" s="19"/>
      <c r="T53" s="66"/>
      <c r="U53" s="71"/>
      <c r="V53" s="20"/>
      <c r="W53" s="20"/>
      <c r="X53" s="21"/>
      <c r="Y53" s="261"/>
      <c r="Z53" s="280"/>
      <c r="AA53" s="284"/>
      <c r="AB53" s="288"/>
      <c r="AC53" s="288"/>
      <c r="AD53" s="246"/>
      <c r="AE53" s="219"/>
      <c r="AF53" s="223"/>
    </row>
    <row r="54" spans="1:32" ht="15" thickBot="1">
      <c r="A54" s="298"/>
      <c r="B54" s="55"/>
      <c r="C54" s="56"/>
      <c r="D54" s="56"/>
      <c r="E54" s="57" t="e">
        <f>IF(SUM(E46:E53)+INT(((SUM(F46:F53)+INT(SUM(G46:G53)/30))/12))&lt;1,"0 años",SUM(E46:E53)+INT(((SUM(F46:F53)+INT(SUM(G46:G53)/30))/12)))</f>
        <v>#NUM!</v>
      </c>
      <c r="F54" s="58" t="e">
        <f>IF((SUM(F46:F53)+INT(SUM(G46:G53)/30))&gt;12,(((SUM(F46:F53)+INT(SUM(G46:G53)/30))/12)-INT(((SUM(F46:F53)+INT(SUM(G46:G53)/30))/12)))*12,SUM(F46:F53))</f>
        <v>#NUM!</v>
      </c>
      <c r="G54" s="302" t="e">
        <f>IF(SUM(G46:G53)&gt;30,((SUM(G46:G53)/30)-INT((SUM(G46:G53)/30)))*30,SUM(G46:G53))</f>
        <v>#NUM!</v>
      </c>
      <c r="H54" s="299"/>
      <c r="I54" s="55"/>
      <c r="J54" s="56"/>
      <c r="K54" s="56"/>
      <c r="L54" s="57" t="str">
        <f>IF(SUM(L46:L53)+INT(((SUM(M46:M53)+INT(SUM(N46:N53)/30))/12))&lt;1,"0 años",SUM(L46:L53)+INT(((SUM(M46:M53)+INT(SUM(N46:N53)/30))/12)))</f>
        <v>0 años</v>
      </c>
      <c r="M54" s="58">
        <f>IF((SUM(M46:M53)+INT(SUM(N46:N53)/30))&gt;12,(((SUM(M46:M53)+INT(SUM(N46:N53)/30))/12)-INT(((SUM(M46:M53)+INT(SUM(N46:N53)/30))/12)))*12,SUM(M46:M53))</f>
        <v>0</v>
      </c>
      <c r="N54" s="59">
        <f>IF(SUM(N46:N53)&gt;30,((SUM(N46:N53)/30)-INT((SUM(N46:N53)/30)))*30,SUM(N46:N53))</f>
        <v>0</v>
      </c>
      <c r="O54" s="60"/>
      <c r="P54" s="256"/>
      <c r="Q54" s="48"/>
      <c r="R54" s="49"/>
      <c r="S54" s="68">
        <f>SUM(S46:S53)</f>
        <v>0</v>
      </c>
      <c r="T54" s="69">
        <f>IF(S54&lt;1,0,MIN(S54-1,3))</f>
        <v>0</v>
      </c>
      <c r="U54" s="72"/>
      <c r="V54" s="73"/>
      <c r="W54" s="73"/>
      <c r="X54" s="74"/>
      <c r="Y54" s="262"/>
      <c r="Z54" s="281"/>
      <c r="AA54" s="285"/>
      <c r="AB54" s="289"/>
      <c r="AC54" s="289"/>
      <c r="AD54" s="247"/>
      <c r="AE54" s="220"/>
      <c r="AF54" s="224"/>
    </row>
    <row r="56" spans="1:32" ht="15" thickBot="1"/>
    <row r="57" spans="1:32" ht="21.6" thickBot="1">
      <c r="A57" s="23"/>
      <c r="E57" s="225" t="s">
        <v>16</v>
      </c>
      <c r="F57" s="226"/>
      <c r="G57" s="227"/>
      <c r="L57" s="225" t="s">
        <v>16</v>
      </c>
      <c r="M57" s="226"/>
      <c r="N57" s="227"/>
      <c r="Q57" s="228" t="s">
        <v>17</v>
      </c>
      <c r="R57" s="228"/>
      <c r="S57" s="228"/>
      <c r="T57" s="229"/>
      <c r="U57" s="230" t="s">
        <v>18</v>
      </c>
      <c r="V57" s="231"/>
      <c r="W57" s="231"/>
      <c r="X57" s="231"/>
      <c r="Y57" s="232"/>
      <c r="Z57" s="233" t="s">
        <v>19</v>
      </c>
      <c r="AA57" s="234"/>
      <c r="AB57" s="234"/>
      <c r="AC57" s="234"/>
      <c r="AD57" s="235"/>
    </row>
    <row r="58" spans="1:32" ht="90.6" thickBot="1">
      <c r="A58" s="42" t="s">
        <v>20</v>
      </c>
      <c r="B58" s="44" t="s">
        <v>6</v>
      </c>
      <c r="C58" s="17" t="s">
        <v>21</v>
      </c>
      <c r="D58" s="17" t="s">
        <v>22</v>
      </c>
      <c r="E58" s="17"/>
      <c r="F58" s="17"/>
      <c r="G58" s="17"/>
      <c r="H58" s="45" t="s">
        <v>23</v>
      </c>
      <c r="I58" s="44" t="s">
        <v>24</v>
      </c>
      <c r="J58" s="17" t="s">
        <v>21</v>
      </c>
      <c r="K58" s="17" t="s">
        <v>22</v>
      </c>
      <c r="L58" s="14"/>
      <c r="M58" s="14"/>
      <c r="N58" s="14"/>
      <c r="O58" s="14"/>
      <c r="P58" s="53" t="s">
        <v>25</v>
      </c>
      <c r="Q58" s="44" t="s">
        <v>17</v>
      </c>
      <c r="R58" s="14" t="s">
        <v>26</v>
      </c>
      <c r="S58" s="14" t="s">
        <v>27</v>
      </c>
      <c r="T58" s="53" t="s">
        <v>28</v>
      </c>
      <c r="U58" s="44" t="s">
        <v>29</v>
      </c>
      <c r="V58" s="14" t="s">
        <v>30</v>
      </c>
      <c r="W58" s="14" t="s">
        <v>31</v>
      </c>
      <c r="X58" s="14" t="s">
        <v>32</v>
      </c>
      <c r="Y58" s="53" t="s">
        <v>33</v>
      </c>
      <c r="Z58" s="15" t="s">
        <v>34</v>
      </c>
      <c r="AA58" s="14" t="s">
        <v>30</v>
      </c>
      <c r="AB58" s="14" t="s">
        <v>31</v>
      </c>
      <c r="AC58" s="14" t="s">
        <v>32</v>
      </c>
      <c r="AD58" s="53" t="s">
        <v>35</v>
      </c>
      <c r="AE58" s="76" t="s">
        <v>36</v>
      </c>
      <c r="AF58" s="75" t="s">
        <v>37</v>
      </c>
    </row>
    <row r="59" spans="1:32" ht="15" thickBot="1">
      <c r="A59" s="248"/>
      <c r="B59" s="114"/>
      <c r="C59" s="112"/>
      <c r="D59" s="112"/>
      <c r="E59" s="34">
        <f>DATEDIF(C59,D59,"y")</f>
        <v>0</v>
      </c>
      <c r="F59" s="35">
        <f>DATEDIF(C59,D59,"YM")</f>
        <v>0</v>
      </c>
      <c r="G59" s="36">
        <f>DATEDIF(C59,D59,"MD")</f>
        <v>0</v>
      </c>
      <c r="H59" s="252" t="e">
        <f>IF(E74&lt;4,0,MIN((E74-4)*5,30))</f>
        <v>#VALUE!</v>
      </c>
      <c r="I59" s="114"/>
      <c r="J59" s="112"/>
      <c r="K59" s="112"/>
      <c r="L59" s="34">
        <f>DATEDIF(J59,K59,"y")</f>
        <v>0</v>
      </c>
      <c r="M59" s="35">
        <f>DATEDIF(J59,K59,"YM")</f>
        <v>0</v>
      </c>
      <c r="N59" s="36">
        <f>DATEDIF(J59,K59,"MD")</f>
        <v>0</v>
      </c>
      <c r="O59" s="37"/>
      <c r="P59" s="257" t="e">
        <f>IF(L74&lt;4,0,MIN((L74-4)*10,60))</f>
        <v>#VALUE!</v>
      </c>
      <c r="Q59" s="86"/>
      <c r="R59" s="90"/>
      <c r="S59" s="22"/>
      <c r="T59" s="62"/>
      <c r="U59" s="275"/>
      <c r="V59" s="2"/>
      <c r="W59" s="276"/>
      <c r="X59" s="27"/>
      <c r="Y59" s="259"/>
      <c r="Z59" s="263"/>
      <c r="AA59" s="236"/>
      <c r="AB59" s="240"/>
      <c r="AC59" s="240"/>
      <c r="AD59" s="244"/>
      <c r="AE59" s="217" t="e">
        <f>+H59+P59+T74+AD59</f>
        <v>#VALUE!</v>
      </c>
      <c r="AF59" s="221"/>
    </row>
    <row r="60" spans="1:32" ht="15" thickBot="1">
      <c r="A60" s="249"/>
      <c r="B60" s="114"/>
      <c r="C60" s="112"/>
      <c r="D60" s="112"/>
      <c r="E60" s="34">
        <f t="shared" ref="E60:E73" si="22">DATEDIF(C60,D60,"y")</f>
        <v>0</v>
      </c>
      <c r="F60" s="35">
        <f t="shared" ref="F60:F73" si="23">DATEDIF(C60,D60,"YM")</f>
        <v>0</v>
      </c>
      <c r="G60" s="36">
        <f t="shared" ref="G60:G73" si="24">DATEDIF(C60,D60,"MD")</f>
        <v>0</v>
      </c>
      <c r="H60" s="253"/>
      <c r="I60" s="114"/>
      <c r="J60" s="112"/>
      <c r="K60" s="112"/>
      <c r="L60" s="34">
        <f t="shared" ref="L60:L63" si="25">DATEDIF(J60,K60,"y")</f>
        <v>0</v>
      </c>
      <c r="M60" s="35">
        <f t="shared" ref="M60:M73" si="26">DATEDIF(J60,K60,"YM")</f>
        <v>0</v>
      </c>
      <c r="N60" s="36">
        <f t="shared" ref="N60:N73" si="27">DATEDIF(J60,K60,"MD")</f>
        <v>0</v>
      </c>
      <c r="O60" s="38"/>
      <c r="P60" s="258"/>
      <c r="Q60" s="47"/>
      <c r="R60" s="85"/>
      <c r="S60" s="30"/>
      <c r="T60" s="64"/>
      <c r="U60" s="70"/>
      <c r="V60" s="277"/>
      <c r="W60" s="32"/>
      <c r="X60" s="33"/>
      <c r="Y60" s="260"/>
      <c r="Z60" s="264"/>
      <c r="AA60" s="237"/>
      <c r="AB60" s="241"/>
      <c r="AC60" s="241"/>
      <c r="AD60" s="245"/>
      <c r="AE60" s="218"/>
      <c r="AF60" s="222"/>
    </row>
    <row r="61" spans="1:32">
      <c r="A61" s="249"/>
      <c r="B61" s="114"/>
      <c r="C61" s="112"/>
      <c r="D61" s="112"/>
      <c r="E61" s="34">
        <f t="shared" si="22"/>
        <v>0</v>
      </c>
      <c r="F61" s="35">
        <f t="shared" si="23"/>
        <v>0</v>
      </c>
      <c r="G61" s="36">
        <f t="shared" si="24"/>
        <v>0</v>
      </c>
      <c r="H61" s="253"/>
      <c r="I61" s="114"/>
      <c r="J61" s="112"/>
      <c r="K61" s="112"/>
      <c r="L61" s="34">
        <f t="shared" si="25"/>
        <v>0</v>
      </c>
      <c r="M61" s="35">
        <f t="shared" si="26"/>
        <v>0</v>
      </c>
      <c r="N61" s="36">
        <f t="shared" si="27"/>
        <v>0</v>
      </c>
      <c r="O61" s="38"/>
      <c r="P61" s="258"/>
      <c r="Q61" s="47"/>
      <c r="R61" s="85"/>
      <c r="S61" s="30"/>
      <c r="T61" s="64"/>
      <c r="U61" s="70"/>
      <c r="V61" s="31"/>
      <c r="W61" s="32"/>
      <c r="X61" s="33"/>
      <c r="Y61" s="260"/>
      <c r="Z61" s="264"/>
      <c r="AA61" s="237"/>
      <c r="AB61" s="241"/>
      <c r="AC61" s="241"/>
      <c r="AD61" s="245"/>
      <c r="AE61" s="218"/>
      <c r="AF61" s="222"/>
    </row>
    <row r="62" spans="1:32">
      <c r="A62" s="249"/>
      <c r="B62" s="114"/>
      <c r="C62" s="112"/>
      <c r="D62" s="112"/>
      <c r="E62" s="34">
        <f t="shared" si="22"/>
        <v>0</v>
      </c>
      <c r="F62" s="35">
        <f t="shared" si="23"/>
        <v>0</v>
      </c>
      <c r="G62" s="36">
        <f t="shared" si="24"/>
        <v>0</v>
      </c>
      <c r="H62" s="253"/>
      <c r="I62" s="114"/>
      <c r="J62" s="112"/>
      <c r="K62" s="112"/>
      <c r="L62" s="34">
        <f t="shared" si="25"/>
        <v>0</v>
      </c>
      <c r="M62" s="35">
        <f t="shared" si="26"/>
        <v>0</v>
      </c>
      <c r="N62" s="36">
        <f t="shared" si="27"/>
        <v>0</v>
      </c>
      <c r="O62" s="38"/>
      <c r="P62" s="258"/>
      <c r="Q62" s="47"/>
      <c r="R62" s="85"/>
      <c r="S62" s="30"/>
      <c r="T62" s="64"/>
      <c r="U62" s="70"/>
      <c r="V62" s="31"/>
      <c r="W62" s="32"/>
      <c r="X62" s="33"/>
      <c r="Y62" s="260"/>
      <c r="Z62" s="264"/>
      <c r="AA62" s="237"/>
      <c r="AB62" s="241"/>
      <c r="AC62" s="241"/>
      <c r="AD62" s="245"/>
      <c r="AE62" s="218"/>
      <c r="AF62" s="222"/>
    </row>
    <row r="63" spans="1:32">
      <c r="A63" s="249"/>
      <c r="B63" s="114"/>
      <c r="C63" s="112"/>
      <c r="D63" s="112"/>
      <c r="E63" s="34">
        <f t="shared" si="22"/>
        <v>0</v>
      </c>
      <c r="F63" s="35">
        <f t="shared" si="23"/>
        <v>0</v>
      </c>
      <c r="G63" s="36">
        <f t="shared" si="24"/>
        <v>0</v>
      </c>
      <c r="H63" s="253"/>
      <c r="I63" s="114"/>
      <c r="J63" s="112"/>
      <c r="K63" s="112"/>
      <c r="L63" s="34">
        <f t="shared" si="25"/>
        <v>0</v>
      </c>
      <c r="M63" s="35">
        <f t="shared" si="26"/>
        <v>0</v>
      </c>
      <c r="N63" s="36">
        <f t="shared" si="27"/>
        <v>0</v>
      </c>
      <c r="O63" s="38"/>
      <c r="P63" s="258"/>
      <c r="Q63" s="47"/>
      <c r="R63" s="85"/>
      <c r="S63" s="30"/>
      <c r="T63" s="64"/>
      <c r="U63" s="70"/>
      <c r="V63" s="31"/>
      <c r="W63" s="32"/>
      <c r="X63" s="33"/>
      <c r="Y63" s="260"/>
      <c r="Z63" s="264"/>
      <c r="AA63" s="237"/>
      <c r="AB63" s="241"/>
      <c r="AC63" s="241"/>
      <c r="AD63" s="245"/>
      <c r="AE63" s="218"/>
      <c r="AF63" s="222"/>
    </row>
    <row r="64" spans="1:32">
      <c r="A64" s="249"/>
      <c r="B64" s="114"/>
      <c r="C64" s="112"/>
      <c r="D64" s="112"/>
      <c r="E64" s="34">
        <f t="shared" si="22"/>
        <v>0</v>
      </c>
      <c r="F64" s="35">
        <f t="shared" si="23"/>
        <v>0</v>
      </c>
      <c r="G64" s="36">
        <f t="shared" si="24"/>
        <v>0</v>
      </c>
      <c r="H64" s="253"/>
      <c r="I64" s="114"/>
      <c r="J64" s="112"/>
      <c r="K64" s="112"/>
      <c r="L64" s="34"/>
      <c r="M64" s="35">
        <f t="shared" si="26"/>
        <v>0</v>
      </c>
      <c r="N64" s="36">
        <f t="shared" si="27"/>
        <v>0</v>
      </c>
      <c r="O64" s="38"/>
      <c r="P64" s="258"/>
      <c r="Q64" s="47"/>
      <c r="R64" s="85"/>
      <c r="S64" s="30"/>
      <c r="T64" s="64"/>
      <c r="U64" s="70"/>
      <c r="V64" s="31"/>
      <c r="W64" s="32"/>
      <c r="X64" s="33"/>
      <c r="Y64" s="260"/>
      <c r="Z64" s="264"/>
      <c r="AA64" s="237"/>
      <c r="AB64" s="241"/>
      <c r="AC64" s="241"/>
      <c r="AD64" s="245"/>
      <c r="AE64" s="218"/>
      <c r="AF64" s="222"/>
    </row>
    <row r="65" spans="1:32">
      <c r="A65" s="249"/>
      <c r="B65" s="114"/>
      <c r="C65" s="112"/>
      <c r="D65" s="112"/>
      <c r="E65" s="34">
        <f t="shared" si="22"/>
        <v>0</v>
      </c>
      <c r="F65" s="35">
        <f t="shared" si="23"/>
        <v>0</v>
      </c>
      <c r="G65" s="36">
        <f t="shared" si="24"/>
        <v>0</v>
      </c>
      <c r="H65" s="253"/>
      <c r="I65" s="114"/>
      <c r="J65" s="112"/>
      <c r="K65" s="112"/>
      <c r="L65" s="34">
        <f t="shared" ref="L65:L73" si="28">DATEDIF(J65,K65,"y")</f>
        <v>0</v>
      </c>
      <c r="M65" s="35">
        <f t="shared" si="26"/>
        <v>0</v>
      </c>
      <c r="N65" s="36">
        <f t="shared" si="27"/>
        <v>0</v>
      </c>
      <c r="O65" s="38"/>
      <c r="P65" s="258"/>
      <c r="Q65" s="63"/>
      <c r="R65" s="29"/>
      <c r="S65" s="30"/>
      <c r="T65" s="64"/>
      <c r="U65" s="70"/>
      <c r="V65" s="31"/>
      <c r="W65" s="32"/>
      <c r="X65" s="33"/>
      <c r="Y65" s="260"/>
      <c r="Z65" s="264"/>
      <c r="AA65" s="237"/>
      <c r="AB65" s="241"/>
      <c r="AC65" s="241"/>
      <c r="AD65" s="245"/>
      <c r="AE65" s="218"/>
      <c r="AF65" s="222"/>
    </row>
    <row r="66" spans="1:32">
      <c r="A66" s="250"/>
      <c r="B66" s="54"/>
      <c r="C66" s="18"/>
      <c r="D66" s="18"/>
      <c r="E66" s="34">
        <f t="shared" si="22"/>
        <v>0</v>
      </c>
      <c r="F66" s="35">
        <f t="shared" si="23"/>
        <v>0</v>
      </c>
      <c r="G66" s="36">
        <f t="shared" si="24"/>
        <v>0</v>
      </c>
      <c r="H66" s="253"/>
      <c r="I66" s="46"/>
      <c r="J66" s="18"/>
      <c r="K66" s="18"/>
      <c r="L66" s="34">
        <f t="shared" si="28"/>
        <v>0</v>
      </c>
      <c r="M66" s="35">
        <f t="shared" si="26"/>
        <v>0</v>
      </c>
      <c r="N66" s="36">
        <f t="shared" si="27"/>
        <v>0</v>
      </c>
      <c r="O66" s="38"/>
      <c r="P66" s="258"/>
      <c r="Q66" s="63"/>
      <c r="R66" s="29"/>
      <c r="S66" s="30"/>
      <c r="T66" s="64"/>
      <c r="U66" s="70"/>
      <c r="V66" s="31"/>
      <c r="W66" s="32"/>
      <c r="X66" s="33"/>
      <c r="Y66" s="260"/>
      <c r="Z66" s="264"/>
      <c r="AA66" s="237"/>
      <c r="AB66" s="241"/>
      <c r="AC66" s="241"/>
      <c r="AD66" s="245"/>
      <c r="AE66" s="218"/>
      <c r="AF66" s="222"/>
    </row>
    <row r="67" spans="1:32">
      <c r="A67" s="250"/>
      <c r="B67" s="54"/>
      <c r="C67" s="18"/>
      <c r="D67" s="18"/>
      <c r="E67" s="34">
        <f t="shared" si="22"/>
        <v>0</v>
      </c>
      <c r="F67" s="35">
        <f t="shared" si="23"/>
        <v>0</v>
      </c>
      <c r="G67" s="36">
        <f t="shared" si="24"/>
        <v>0</v>
      </c>
      <c r="H67" s="253"/>
      <c r="I67" s="46"/>
      <c r="J67" s="18"/>
      <c r="K67" s="18"/>
      <c r="L67" s="34">
        <f t="shared" si="28"/>
        <v>0</v>
      </c>
      <c r="M67" s="35">
        <f t="shared" si="26"/>
        <v>0</v>
      </c>
      <c r="N67" s="36">
        <f t="shared" si="27"/>
        <v>0</v>
      </c>
      <c r="O67" s="38"/>
      <c r="P67" s="258"/>
      <c r="Q67" s="63"/>
      <c r="R67" s="29"/>
      <c r="S67" s="30"/>
      <c r="T67" s="64"/>
      <c r="U67" s="70"/>
      <c r="V67" s="31"/>
      <c r="W67" s="32"/>
      <c r="X67" s="33"/>
      <c r="Y67" s="260"/>
      <c r="Z67" s="264"/>
      <c r="AA67" s="237"/>
      <c r="AB67" s="241"/>
      <c r="AC67" s="241"/>
      <c r="AD67" s="245"/>
      <c r="AE67" s="218"/>
      <c r="AF67" s="222"/>
    </row>
    <row r="68" spans="1:32">
      <c r="A68" s="250"/>
      <c r="B68" s="54"/>
      <c r="C68" s="18"/>
      <c r="D68" s="18"/>
      <c r="E68" s="34">
        <f t="shared" si="22"/>
        <v>0</v>
      </c>
      <c r="F68" s="35">
        <f t="shared" si="23"/>
        <v>0</v>
      </c>
      <c r="G68" s="36">
        <f t="shared" si="24"/>
        <v>0</v>
      </c>
      <c r="H68" s="253"/>
      <c r="I68" s="46"/>
      <c r="J68" s="18"/>
      <c r="K68" s="18"/>
      <c r="L68" s="34">
        <f t="shared" si="28"/>
        <v>0</v>
      </c>
      <c r="M68" s="35">
        <f t="shared" si="26"/>
        <v>0</v>
      </c>
      <c r="N68" s="36">
        <f t="shared" si="27"/>
        <v>0</v>
      </c>
      <c r="O68" s="38"/>
      <c r="P68" s="258"/>
      <c r="Q68" s="63"/>
      <c r="R68" s="29"/>
      <c r="S68" s="30"/>
      <c r="T68" s="64"/>
      <c r="U68" s="70"/>
      <c r="V68" s="31"/>
      <c r="W68" s="32"/>
      <c r="X68" s="33"/>
      <c r="Y68" s="260"/>
      <c r="Z68" s="264"/>
      <c r="AA68" s="237"/>
      <c r="AB68" s="241"/>
      <c r="AC68" s="241"/>
      <c r="AD68" s="245"/>
      <c r="AE68" s="218"/>
      <c r="AF68" s="222"/>
    </row>
    <row r="69" spans="1:32">
      <c r="A69" s="251"/>
      <c r="B69" s="54"/>
      <c r="C69" s="18"/>
      <c r="D69" s="18"/>
      <c r="E69" s="34">
        <f t="shared" si="22"/>
        <v>0</v>
      </c>
      <c r="F69" s="35">
        <f t="shared" si="23"/>
        <v>0</v>
      </c>
      <c r="G69" s="36">
        <f t="shared" si="24"/>
        <v>0</v>
      </c>
      <c r="H69" s="254"/>
      <c r="I69" s="46"/>
      <c r="J69" s="40"/>
      <c r="K69" s="40"/>
      <c r="L69" s="34">
        <f t="shared" si="28"/>
        <v>0</v>
      </c>
      <c r="M69" s="35">
        <f t="shared" si="26"/>
        <v>0</v>
      </c>
      <c r="N69" s="36">
        <f t="shared" si="27"/>
        <v>0</v>
      </c>
      <c r="O69" s="39"/>
      <c r="P69" s="255"/>
      <c r="Q69" s="65"/>
      <c r="R69" s="24"/>
      <c r="S69" s="19"/>
      <c r="T69" s="66"/>
      <c r="U69" s="71"/>
      <c r="V69" s="20"/>
      <c r="W69" s="25"/>
      <c r="X69" s="21"/>
      <c r="Y69" s="261"/>
      <c r="Z69" s="265"/>
      <c r="AA69" s="238"/>
      <c r="AB69" s="242"/>
      <c r="AC69" s="242"/>
      <c r="AD69" s="246"/>
      <c r="AE69" s="219"/>
      <c r="AF69" s="223"/>
    </row>
    <row r="70" spans="1:32">
      <c r="A70" s="251"/>
      <c r="B70" s="54"/>
      <c r="C70" s="18"/>
      <c r="D70" s="18"/>
      <c r="E70" s="34">
        <f t="shared" si="22"/>
        <v>0</v>
      </c>
      <c r="F70" s="35">
        <f t="shared" si="23"/>
        <v>0</v>
      </c>
      <c r="G70" s="36">
        <f t="shared" si="24"/>
        <v>0</v>
      </c>
      <c r="H70" s="254"/>
      <c r="I70" s="46"/>
      <c r="J70" s="40"/>
      <c r="K70" s="40"/>
      <c r="L70" s="34">
        <f t="shared" si="28"/>
        <v>0</v>
      </c>
      <c r="M70" s="35">
        <f t="shared" si="26"/>
        <v>0</v>
      </c>
      <c r="N70" s="36">
        <f t="shared" si="27"/>
        <v>0</v>
      </c>
      <c r="O70" s="39"/>
      <c r="P70" s="255"/>
      <c r="Q70" s="65"/>
      <c r="R70" s="24"/>
      <c r="S70" s="19"/>
      <c r="T70" s="66"/>
      <c r="U70" s="71"/>
      <c r="V70" s="20"/>
      <c r="W70" s="25"/>
      <c r="X70" s="21"/>
      <c r="Y70" s="261"/>
      <c r="Z70" s="265"/>
      <c r="AA70" s="238"/>
      <c r="AB70" s="242"/>
      <c r="AC70" s="242"/>
      <c r="AD70" s="246"/>
      <c r="AE70" s="219"/>
      <c r="AF70" s="223"/>
    </row>
    <row r="71" spans="1:32">
      <c r="A71" s="251"/>
      <c r="B71" s="54"/>
      <c r="C71" s="18"/>
      <c r="D71" s="18"/>
      <c r="E71" s="34">
        <f t="shared" si="22"/>
        <v>0</v>
      </c>
      <c r="F71" s="35">
        <f t="shared" si="23"/>
        <v>0</v>
      </c>
      <c r="G71" s="36">
        <f t="shared" si="24"/>
        <v>0</v>
      </c>
      <c r="H71" s="254"/>
      <c r="I71" s="46"/>
      <c r="J71" s="40"/>
      <c r="K71" s="40"/>
      <c r="L71" s="34">
        <f t="shared" si="28"/>
        <v>0</v>
      </c>
      <c r="M71" s="35">
        <f t="shared" si="26"/>
        <v>0</v>
      </c>
      <c r="N71" s="36">
        <f t="shared" si="27"/>
        <v>0</v>
      </c>
      <c r="O71" s="39"/>
      <c r="P71" s="255"/>
      <c r="Q71" s="65"/>
      <c r="R71" s="24"/>
      <c r="S71" s="19"/>
      <c r="T71" s="66"/>
      <c r="U71" s="71"/>
      <c r="V71" s="20"/>
      <c r="W71" s="25"/>
      <c r="X71" s="21"/>
      <c r="Y71" s="261"/>
      <c r="Z71" s="265"/>
      <c r="AA71" s="238"/>
      <c r="AB71" s="242"/>
      <c r="AC71" s="242"/>
      <c r="AD71" s="246"/>
      <c r="AE71" s="219"/>
      <c r="AF71" s="223"/>
    </row>
    <row r="72" spans="1:32">
      <c r="A72" s="251"/>
      <c r="B72" s="54"/>
      <c r="C72" s="18"/>
      <c r="D72" s="18"/>
      <c r="E72" s="34">
        <f t="shared" si="22"/>
        <v>0</v>
      </c>
      <c r="F72" s="35">
        <f t="shared" si="23"/>
        <v>0</v>
      </c>
      <c r="G72" s="36">
        <f t="shared" si="24"/>
        <v>0</v>
      </c>
      <c r="H72" s="254"/>
      <c r="I72" s="46"/>
      <c r="J72" s="40"/>
      <c r="K72" s="40"/>
      <c r="L72" s="34">
        <f t="shared" si="28"/>
        <v>0</v>
      </c>
      <c r="M72" s="35">
        <f t="shared" si="26"/>
        <v>0</v>
      </c>
      <c r="N72" s="36">
        <f t="shared" si="27"/>
        <v>0</v>
      </c>
      <c r="O72" s="39"/>
      <c r="P72" s="255"/>
      <c r="Q72" s="65"/>
      <c r="R72" s="26"/>
      <c r="S72" s="19"/>
      <c r="T72" s="66"/>
      <c r="U72" s="71"/>
      <c r="V72" s="20"/>
      <c r="W72" s="25"/>
      <c r="X72" s="21"/>
      <c r="Y72" s="261"/>
      <c r="Z72" s="265"/>
      <c r="AA72" s="238"/>
      <c r="AB72" s="242"/>
      <c r="AC72" s="242"/>
      <c r="AD72" s="246"/>
      <c r="AE72" s="219"/>
      <c r="AF72" s="223"/>
    </row>
    <row r="73" spans="1:32">
      <c r="A73" s="251"/>
      <c r="B73" s="47"/>
      <c r="C73" s="28"/>
      <c r="D73" s="28"/>
      <c r="E73" s="34">
        <f t="shared" si="22"/>
        <v>0</v>
      </c>
      <c r="F73" s="35">
        <f t="shared" si="23"/>
        <v>0</v>
      </c>
      <c r="G73" s="36">
        <f t="shared" si="24"/>
        <v>0</v>
      </c>
      <c r="H73" s="255"/>
      <c r="I73" s="54"/>
      <c r="J73" s="41"/>
      <c r="K73" s="41"/>
      <c r="L73" s="34">
        <f t="shared" si="28"/>
        <v>0</v>
      </c>
      <c r="M73" s="35">
        <f t="shared" si="26"/>
        <v>0</v>
      </c>
      <c r="N73" s="36">
        <f t="shared" si="27"/>
        <v>0</v>
      </c>
      <c r="O73" s="39"/>
      <c r="P73" s="255"/>
      <c r="Q73" s="67"/>
      <c r="R73" s="11"/>
      <c r="S73" s="19"/>
      <c r="T73" s="66"/>
      <c r="U73" s="71"/>
      <c r="V73" s="20"/>
      <c r="W73" s="20"/>
      <c r="X73" s="21"/>
      <c r="Y73" s="261"/>
      <c r="Z73" s="265"/>
      <c r="AA73" s="238"/>
      <c r="AB73" s="242"/>
      <c r="AC73" s="242"/>
      <c r="AD73" s="246"/>
      <c r="AE73" s="219"/>
      <c r="AF73" s="223"/>
    </row>
    <row r="74" spans="1:32" ht="15" thickBot="1">
      <c r="A74" s="43"/>
      <c r="B74" s="48"/>
      <c r="C74" s="49"/>
      <c r="D74" s="49"/>
      <c r="E74" s="50" t="str">
        <f>IF(SUM(E59:E73)+INT(((SUM(F59:F73)+INT(SUM(G59:G73)/30))/12))&lt;1,"0 años",SUM(E59:E73)+INT(((SUM(F59:F73)+INT(SUM(G59:G73)/30))/12)))</f>
        <v>0 años</v>
      </c>
      <c r="F74" s="51">
        <f>IF((SUM(F59:F73)+INT(SUM(G59:G73)/30))&gt;12,(((SUM(F59:F73)+INT(SUM(G59:G73)/30))/12)-INT(((SUM(F59:F73)+INT(SUM(G59:G73)/30))/12)))*12,SUM(F59:F73))</f>
        <v>0</v>
      </c>
      <c r="G74" s="52">
        <f>IF(SUM(G59:G73)&gt;30,((SUM(G59:G73)/30)-INT((SUM(G59:G73)/30)))*30,SUM(G59:G73))</f>
        <v>0</v>
      </c>
      <c r="H74" s="256"/>
      <c r="I74" s="55"/>
      <c r="J74" s="56"/>
      <c r="K74" s="56"/>
      <c r="L74" s="57" t="str">
        <f>IF(SUM(L59:L73)+INT(((SUM(M59:M73)+INT(SUM(N59:N73)/30))/12))&lt;1,"0 años",SUM(L59:L73)+INT(((SUM(M59:M73)+INT(SUM(N59:N73)/30))/12)))</f>
        <v>0 años</v>
      </c>
      <c r="M74" s="58">
        <f>IF((SUM(M59:M73)+INT(SUM(N59:N73)/30))&gt;12,(((SUM(M59:M73)+INT(SUM(N59:N73)/30))/12)-INT(((SUM(M59:M73)+INT(SUM(N59:N73)/30))/12)))*12,SUM(M59:M73))</f>
        <v>0</v>
      </c>
      <c r="N74" s="59">
        <f>IF(SUM(N59:N73)&gt;30,((SUM(N59:N73)/30)-INT((SUM(N59:N73)/30)))*30,SUM(N59:N73))</f>
        <v>0</v>
      </c>
      <c r="O74" s="60"/>
      <c r="P74" s="256"/>
      <c r="Q74" s="48"/>
      <c r="R74" s="49"/>
      <c r="S74" s="68">
        <f>SUM(S59:S73)</f>
        <v>0</v>
      </c>
      <c r="T74" s="69">
        <f>IF(S74&lt;1,0,MIN(S74-1,3))</f>
        <v>0</v>
      </c>
      <c r="U74" s="72"/>
      <c r="V74" s="73"/>
      <c r="W74" s="73"/>
      <c r="X74" s="74"/>
      <c r="Y74" s="262"/>
      <c r="Z74" s="266"/>
      <c r="AA74" s="239"/>
      <c r="AB74" s="243"/>
      <c r="AC74" s="243"/>
      <c r="AD74" s="247"/>
      <c r="AE74" s="220"/>
      <c r="AF74" s="224"/>
    </row>
  </sheetData>
  <mergeCells count="66">
    <mergeCell ref="AF59:AF74"/>
    <mergeCell ref="AA59:AA74"/>
    <mergeCell ref="AB59:AB74"/>
    <mergeCell ref="AC59:AC74"/>
    <mergeCell ref="AD59:AD74"/>
    <mergeCell ref="AE59:AE74"/>
    <mergeCell ref="A59:A73"/>
    <mergeCell ref="H59:H74"/>
    <mergeCell ref="P59:P74"/>
    <mergeCell ref="Y59:Y74"/>
    <mergeCell ref="Z59:Z74"/>
    <mergeCell ref="E57:G57"/>
    <mergeCell ref="L57:N57"/>
    <mergeCell ref="Q57:T57"/>
    <mergeCell ref="U57:Y57"/>
    <mergeCell ref="Z57:AD57"/>
    <mergeCell ref="B1:H1"/>
    <mergeCell ref="B2:G2"/>
    <mergeCell ref="A9:A26"/>
    <mergeCell ref="H9:H27"/>
    <mergeCell ref="P9:P27"/>
    <mergeCell ref="Y9:Y27"/>
    <mergeCell ref="Z9:Z27"/>
    <mergeCell ref="AF33:AF41"/>
    <mergeCell ref="E7:G7"/>
    <mergeCell ref="L7:N7"/>
    <mergeCell ref="Q7:T7"/>
    <mergeCell ref="U7:Y7"/>
    <mergeCell ref="Z7:AD7"/>
    <mergeCell ref="AA9:AA27"/>
    <mergeCell ref="AB9:AB27"/>
    <mergeCell ref="AC9:AC27"/>
    <mergeCell ref="AD9:AD27"/>
    <mergeCell ref="AA33:AA41"/>
    <mergeCell ref="AB33:AB41"/>
    <mergeCell ref="AC33:AC41"/>
    <mergeCell ref="AD33:AD41"/>
    <mergeCell ref="AE33:AE41"/>
    <mergeCell ref="AE9:AE27"/>
    <mergeCell ref="A33:A40"/>
    <mergeCell ref="H33:H41"/>
    <mergeCell ref="P33:P41"/>
    <mergeCell ref="Y33:Y41"/>
    <mergeCell ref="Z33:Z41"/>
    <mergeCell ref="AF9:AF27"/>
    <mergeCell ref="E31:G31"/>
    <mergeCell ref="L31:N31"/>
    <mergeCell ref="Q31:T31"/>
    <mergeCell ref="U31:Y31"/>
    <mergeCell ref="Z31:AD31"/>
    <mergeCell ref="A46:A53"/>
    <mergeCell ref="H46:H54"/>
    <mergeCell ref="P46:P54"/>
    <mergeCell ref="Y46:Y54"/>
    <mergeCell ref="Z46:Z54"/>
    <mergeCell ref="AE46:AE54"/>
    <mergeCell ref="AF46:AF54"/>
    <mergeCell ref="E44:G44"/>
    <mergeCell ref="L44:N44"/>
    <mergeCell ref="Q44:T44"/>
    <mergeCell ref="U44:Y44"/>
    <mergeCell ref="Z44:AD44"/>
    <mergeCell ref="AA46:AA54"/>
    <mergeCell ref="AB46:AB54"/>
    <mergeCell ref="AC46:AC54"/>
    <mergeCell ref="AD46:AD54"/>
  </mergeCells>
  <conditionalFormatting sqref="C19:D25 J19:K25">
    <cfRule type="expression" dxfId="12" priority="24" stopIfTrue="1">
      <formula>SUMPRODUCT((C19&lt;=#REF!)*(D19&gt;=#REF!))&gt;1</formula>
    </cfRule>
  </conditionalFormatting>
  <conditionalFormatting sqref="E46:G53 L46:N53 E9:G26">
    <cfRule type="cellIs" dxfId="11" priority="23" stopIfTrue="1" operator="lessThan">
      <formula>1</formula>
    </cfRule>
  </conditionalFormatting>
  <conditionalFormatting sqref="E33:G40">
    <cfRule type="cellIs" dxfId="10" priority="19" stopIfTrue="1" operator="lessThan">
      <formula>1</formula>
    </cfRule>
  </conditionalFormatting>
  <conditionalFormatting sqref="L16:N26">
    <cfRule type="cellIs" dxfId="9" priority="22" stopIfTrue="1" operator="lessThan">
      <formula>1</formula>
    </cfRule>
  </conditionalFormatting>
  <conditionalFormatting sqref="L33:N40">
    <cfRule type="cellIs" dxfId="8" priority="18" stopIfTrue="1" operator="lessThan">
      <formula>1</formula>
    </cfRule>
  </conditionalFormatting>
  <conditionalFormatting sqref="C46:D52 J33:K40 J46:K52 J9:K18 C9:D18 C37:D40 C34:D35">
    <cfRule type="expression" dxfId="7" priority="30" stopIfTrue="1">
      <formula>SUMPRODUCT((C9&lt;=$E$4:$E$5)*(D9&gt;=$D$4:$D$5))&gt;1</formula>
    </cfRule>
  </conditionalFormatting>
  <conditionalFormatting sqref="L9:N15">
    <cfRule type="cellIs" dxfId="6" priority="7" stopIfTrue="1" operator="lessThan">
      <formula>1</formula>
    </cfRule>
  </conditionalFormatting>
  <conditionalFormatting sqref="C66:D72 J66:K72">
    <cfRule type="expression" dxfId="5" priority="5" stopIfTrue="1">
      <formula>SUMPRODUCT((C66&lt;=#REF!)*(D66&gt;=#REF!))&gt;1</formula>
    </cfRule>
  </conditionalFormatting>
  <conditionalFormatting sqref="E59:G73">
    <cfRule type="cellIs" dxfId="4" priority="4" stopIfTrue="1" operator="lessThan">
      <formula>1</formula>
    </cfRule>
  </conditionalFormatting>
  <conditionalFormatting sqref="L59:N73">
    <cfRule type="cellIs" dxfId="3" priority="3" stopIfTrue="1" operator="lessThan">
      <formula>1</formula>
    </cfRule>
  </conditionalFormatting>
  <conditionalFormatting sqref="C59:D65 J59:K65">
    <cfRule type="expression" dxfId="2" priority="6" stopIfTrue="1">
      <formula>SUMPRODUCT((C59&lt;=$E$4:$E$5)*(D59&gt;=$D$4:$D$5))&gt;1</formula>
    </cfRule>
  </conditionalFormatting>
  <conditionalFormatting sqref="C36:D36">
    <cfRule type="expression" dxfId="1" priority="2" stopIfTrue="1">
      <formula>SUMPRODUCT((C36&lt;=$E$4:$E$9)*(D36&gt;=$D$4:$D$9))&gt;1</formula>
    </cfRule>
  </conditionalFormatting>
  <conditionalFormatting sqref="C33:D33">
    <cfRule type="expression" dxfId="0" priority="1" stopIfTrue="1">
      <formula>SUMPRODUCT((C33&lt;=$E$4:$E$9)*(D33&gt;=$D$4:$D$9))&gt;1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A908-FD4C-473D-BE86-1F5539F360C3}">
  <dimension ref="A1:D18"/>
  <sheetViews>
    <sheetView workbookViewId="0">
      <selection activeCell="A5" sqref="A5"/>
    </sheetView>
  </sheetViews>
  <sheetFormatPr baseColWidth="10" defaultColWidth="9.109375" defaultRowHeight="14.4"/>
  <cols>
    <col min="2" max="2" width="35.109375" customWidth="1"/>
    <col min="3" max="3" width="21.5546875" customWidth="1"/>
    <col min="4" max="4" width="32.44140625" customWidth="1"/>
  </cols>
  <sheetData>
    <row r="1" spans="1:4">
      <c r="A1" s="12" t="s">
        <v>73</v>
      </c>
      <c r="B1" s="12"/>
      <c r="C1" s="12"/>
      <c r="D1" s="16"/>
    </row>
    <row r="2" spans="1:4">
      <c r="A2" s="12" t="s">
        <v>74</v>
      </c>
      <c r="B2" s="12"/>
      <c r="C2" s="12"/>
      <c r="D2" s="16"/>
    </row>
    <row r="3" spans="1:4">
      <c r="A3" s="12" t="s">
        <v>38</v>
      </c>
      <c r="B3" s="12"/>
      <c r="C3" s="16"/>
      <c r="D3" s="16"/>
    </row>
    <row r="4" spans="1:4">
      <c r="A4" s="12" t="s">
        <v>75</v>
      </c>
      <c r="B4" s="12"/>
      <c r="C4" s="16"/>
      <c r="D4" s="16"/>
    </row>
    <row r="5" spans="1:4">
      <c r="A5" s="128" t="s">
        <v>0</v>
      </c>
      <c r="B5" s="129" t="s">
        <v>39</v>
      </c>
      <c r="C5" s="128" t="s">
        <v>40</v>
      </c>
      <c r="D5" s="129" t="s">
        <v>41</v>
      </c>
    </row>
    <row r="6" spans="1:4" ht="65.25" customHeight="1">
      <c r="A6" s="121">
        <v>1</v>
      </c>
      <c r="B6" s="122"/>
      <c r="C6" s="9"/>
      <c r="D6" s="9"/>
    </row>
    <row r="7" spans="1:4" ht="65.25" customHeight="1">
      <c r="A7" s="121">
        <v>2</v>
      </c>
      <c r="B7" s="123"/>
      <c r="C7" s="9"/>
      <c r="D7" s="9"/>
    </row>
    <row r="8" spans="1:4" ht="65.25" customHeight="1">
      <c r="A8" s="121">
        <v>3</v>
      </c>
      <c r="B8" s="124"/>
      <c r="C8" s="115" t="s">
        <v>42</v>
      </c>
      <c r="D8" s="115" t="s">
        <v>42</v>
      </c>
    </row>
    <row r="9" spans="1:4" ht="65.25" customHeight="1">
      <c r="A9" s="121">
        <v>4</v>
      </c>
      <c r="B9" s="125"/>
      <c r="C9" s="115" t="s">
        <v>42</v>
      </c>
      <c r="D9" s="115" t="s">
        <v>42</v>
      </c>
    </row>
    <row r="10" spans="1:4" ht="65.25" customHeight="1">
      <c r="A10" s="121">
        <v>5</v>
      </c>
      <c r="B10" s="124"/>
      <c r="C10" s="116" t="s">
        <v>42</v>
      </c>
      <c r="D10" s="116" t="s">
        <v>42</v>
      </c>
    </row>
    <row r="11" spans="1:4" ht="65.25" customHeight="1">
      <c r="A11" s="121">
        <v>6</v>
      </c>
      <c r="B11" s="125"/>
      <c r="C11" s="116" t="s">
        <v>42</v>
      </c>
      <c r="D11" s="116" t="s">
        <v>42</v>
      </c>
    </row>
    <row r="12" spans="1:4" ht="65.25" customHeight="1">
      <c r="A12" s="121">
        <v>7</v>
      </c>
      <c r="B12" s="125"/>
      <c r="C12" s="116" t="s">
        <v>42</v>
      </c>
      <c r="D12" s="116" t="s">
        <v>42</v>
      </c>
    </row>
    <row r="13" spans="1:4" ht="65.25" customHeight="1">
      <c r="A13" s="121">
        <v>8</v>
      </c>
      <c r="B13" s="125"/>
      <c r="C13" s="117" t="s">
        <v>42</v>
      </c>
      <c r="D13" s="116" t="s">
        <v>42</v>
      </c>
    </row>
    <row r="14" spans="1:4" ht="67.5" customHeight="1">
      <c r="A14" s="121">
        <v>9</v>
      </c>
      <c r="B14" s="126"/>
      <c r="C14" s="117" t="s">
        <v>42</v>
      </c>
      <c r="D14" s="116" t="s">
        <v>42</v>
      </c>
    </row>
    <row r="15" spans="1:4" ht="67.5" customHeight="1">
      <c r="A15" s="121">
        <v>10</v>
      </c>
      <c r="B15" s="127"/>
      <c r="C15" s="116" t="s">
        <v>42</v>
      </c>
      <c r="D15" s="116" t="s">
        <v>42</v>
      </c>
    </row>
    <row r="16" spans="1:4" ht="67.5" customHeight="1">
      <c r="A16" s="121">
        <v>11</v>
      </c>
      <c r="B16" s="127"/>
      <c r="C16" s="116" t="s">
        <v>42</v>
      </c>
      <c r="D16" s="116" t="s">
        <v>42</v>
      </c>
    </row>
    <row r="17" spans="1:4" ht="67.5" customHeight="1">
      <c r="A17" s="121">
        <v>12</v>
      </c>
      <c r="B17" s="127"/>
      <c r="C17" s="13" t="s">
        <v>42</v>
      </c>
      <c r="D17" s="116" t="s">
        <v>42</v>
      </c>
    </row>
    <row r="18" spans="1:4">
      <c r="A18" s="118"/>
      <c r="B18" s="117"/>
      <c r="C18" s="116" t="s">
        <v>42</v>
      </c>
      <c r="D18" s="1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417D-3BFC-4422-A014-4EE8857DEB13}">
  <dimension ref="A1:I28"/>
  <sheetViews>
    <sheetView workbookViewId="0">
      <selection activeCell="G8" sqref="G8"/>
    </sheetView>
  </sheetViews>
  <sheetFormatPr baseColWidth="10" defaultColWidth="9.109375" defaultRowHeight="14.4"/>
  <cols>
    <col min="1" max="1" width="3.33203125" bestFit="1" customWidth="1"/>
    <col min="2" max="2" width="35.109375" bestFit="1" customWidth="1"/>
    <col min="3" max="3" width="30.5546875" bestFit="1" customWidth="1"/>
    <col min="4" max="4" width="13" customWidth="1"/>
    <col min="5" max="5" width="11.5546875" customWidth="1"/>
    <col min="6" max="6" width="13.5546875" customWidth="1"/>
    <col min="7" max="7" width="9.88671875" customWidth="1"/>
    <col min="8" max="8" width="14.6640625" customWidth="1"/>
    <col min="9" max="9" width="10.109375" bestFit="1" customWidth="1"/>
  </cols>
  <sheetData>
    <row r="1" spans="1:9" ht="28.8">
      <c r="A1" s="147" t="s">
        <v>0</v>
      </c>
      <c r="B1" s="148" t="s">
        <v>39</v>
      </c>
      <c r="C1" s="148" t="s">
        <v>3</v>
      </c>
      <c r="D1" s="148" t="s">
        <v>43</v>
      </c>
      <c r="E1" s="148" t="s">
        <v>44</v>
      </c>
      <c r="F1" s="148" t="s">
        <v>45</v>
      </c>
      <c r="G1" s="148" t="s">
        <v>46</v>
      </c>
      <c r="H1" s="148" t="s">
        <v>47</v>
      </c>
      <c r="I1" s="149" t="s">
        <v>76</v>
      </c>
    </row>
    <row r="2" spans="1:9" ht="20.25" customHeight="1">
      <c r="A2" s="150">
        <v>1</v>
      </c>
      <c r="B2" s="122"/>
      <c r="C2" s="135"/>
      <c r="D2" s="142"/>
      <c r="E2" s="143"/>
      <c r="F2" s="144"/>
      <c r="G2" s="142"/>
      <c r="H2" s="143"/>
      <c r="I2" s="151"/>
    </row>
    <row r="3" spans="1:9" ht="20.25" customHeight="1">
      <c r="A3" s="150">
        <v>2</v>
      </c>
      <c r="B3" s="123"/>
      <c r="C3" s="135"/>
      <c r="D3" s="142"/>
      <c r="E3" s="143"/>
      <c r="F3" s="144"/>
      <c r="G3" s="142"/>
      <c r="H3" s="143"/>
      <c r="I3" s="151"/>
    </row>
    <row r="4" spans="1:9" ht="20.25" customHeight="1">
      <c r="A4" s="150">
        <v>3</v>
      </c>
      <c r="B4" s="124"/>
      <c r="C4" s="10"/>
      <c r="D4" s="143"/>
      <c r="E4" s="143"/>
      <c r="F4" s="144"/>
      <c r="G4" s="143"/>
      <c r="H4" s="143"/>
      <c r="I4" s="151"/>
    </row>
    <row r="5" spans="1:9" ht="20.25" customHeight="1">
      <c r="A5" s="150">
        <v>4</v>
      </c>
      <c r="B5" s="124"/>
      <c r="C5" s="130"/>
      <c r="D5" s="142"/>
      <c r="E5" s="143"/>
      <c r="F5" s="144"/>
      <c r="G5" s="142"/>
      <c r="H5" s="143"/>
      <c r="I5" s="151"/>
    </row>
    <row r="6" spans="1:9" ht="20.25" customHeight="1">
      <c r="A6" s="150">
        <v>5</v>
      </c>
      <c r="B6" s="124"/>
      <c r="C6" s="130"/>
      <c r="D6" s="142"/>
      <c r="E6" s="143"/>
      <c r="F6" s="144"/>
      <c r="G6" s="142"/>
      <c r="H6" s="143"/>
      <c r="I6" s="151"/>
    </row>
    <row r="7" spans="1:9" ht="20.25" customHeight="1">
      <c r="A7" s="150">
        <v>6</v>
      </c>
      <c r="B7" s="124"/>
      <c r="C7" s="136"/>
      <c r="D7" s="142"/>
      <c r="E7" s="143"/>
      <c r="F7" s="144"/>
      <c r="G7" s="142"/>
      <c r="H7" s="143"/>
      <c r="I7" s="151"/>
    </row>
    <row r="8" spans="1:9" ht="20.25" customHeight="1">
      <c r="A8" s="150">
        <v>7</v>
      </c>
      <c r="B8" s="124"/>
      <c r="C8" s="2"/>
      <c r="D8" s="142"/>
      <c r="E8" s="143"/>
      <c r="F8" s="144"/>
      <c r="G8" s="142"/>
      <c r="H8" s="143"/>
      <c r="I8" s="151"/>
    </row>
    <row r="9" spans="1:9" ht="20.25" customHeight="1">
      <c r="A9" s="150">
        <v>8</v>
      </c>
      <c r="B9" s="124"/>
      <c r="C9" s="2"/>
      <c r="D9" s="143"/>
      <c r="E9" s="143"/>
      <c r="F9" s="144"/>
      <c r="G9" s="143"/>
      <c r="H9" s="143"/>
      <c r="I9" s="151"/>
    </row>
    <row r="10" spans="1:9" ht="20.25" customHeight="1">
      <c r="A10" s="150">
        <v>9</v>
      </c>
      <c r="B10" s="145"/>
      <c r="C10" s="135"/>
      <c r="D10" s="142"/>
      <c r="E10" s="143"/>
      <c r="F10" s="144"/>
      <c r="G10" s="142"/>
      <c r="H10" s="143"/>
      <c r="I10" s="151"/>
    </row>
    <row r="11" spans="1:9" ht="20.25" customHeight="1">
      <c r="A11" s="150">
        <v>10</v>
      </c>
      <c r="B11" s="146"/>
      <c r="C11" s="135"/>
      <c r="D11" s="143"/>
      <c r="E11" s="143"/>
      <c r="F11" s="144"/>
      <c r="G11" s="143"/>
      <c r="H11" s="143"/>
      <c r="I11" s="151"/>
    </row>
    <row r="12" spans="1:9" ht="20.25" customHeight="1">
      <c r="A12" s="150">
        <v>11</v>
      </c>
      <c r="B12" s="146"/>
      <c r="C12" s="135"/>
      <c r="D12" s="142"/>
      <c r="E12" s="143"/>
      <c r="F12" s="144"/>
      <c r="G12" s="142"/>
      <c r="H12" s="143"/>
      <c r="I12" s="151"/>
    </row>
    <row r="13" spans="1:9" ht="20.25" customHeight="1">
      <c r="A13" s="150">
        <v>12</v>
      </c>
      <c r="B13" s="146"/>
      <c r="C13" s="135"/>
      <c r="D13" s="142"/>
      <c r="E13" s="143"/>
      <c r="F13" s="144"/>
      <c r="G13" s="142"/>
      <c r="H13" s="143"/>
      <c r="I13" s="151"/>
    </row>
    <row r="14" spans="1:9" ht="15" thickBot="1">
      <c r="A14" s="152">
        <v>13</v>
      </c>
      <c r="B14" s="153"/>
      <c r="C14" s="154"/>
      <c r="D14" s="155"/>
      <c r="E14" s="156"/>
      <c r="F14" s="157"/>
      <c r="G14" s="155"/>
      <c r="H14" s="158"/>
      <c r="I14" s="159"/>
    </row>
    <row r="28" spans="6:6">
      <c r="F2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6B36-3D52-4043-97A8-322655E88AB5}">
  <dimension ref="A1:O20"/>
  <sheetViews>
    <sheetView workbookViewId="0">
      <selection activeCell="K11" sqref="K11"/>
    </sheetView>
  </sheetViews>
  <sheetFormatPr baseColWidth="10" defaultColWidth="9.109375" defaultRowHeight="14.4"/>
  <cols>
    <col min="1" max="1" width="26.109375" customWidth="1"/>
    <col min="2" max="2" width="33.44140625" customWidth="1"/>
    <col min="3" max="3" width="24" customWidth="1"/>
    <col min="4" max="4" width="11.44140625" customWidth="1"/>
    <col min="5" max="5" width="9.109375" bestFit="1" customWidth="1"/>
    <col min="6" max="6" width="9.109375" customWidth="1"/>
    <col min="7" max="7" width="9.109375" bestFit="1" customWidth="1"/>
    <col min="8" max="8" width="9.109375" customWidth="1"/>
    <col min="9" max="9" width="16.6640625" customWidth="1"/>
    <col min="10" max="10" width="9.109375" bestFit="1" customWidth="1"/>
    <col min="11" max="11" width="14.6640625" customWidth="1"/>
    <col min="12" max="12" width="10.33203125" customWidth="1"/>
    <col min="14" max="14" width="19.33203125" customWidth="1"/>
  </cols>
  <sheetData>
    <row r="1" spans="1:15">
      <c r="A1" s="185" t="s">
        <v>78</v>
      </c>
      <c r="B1" s="185"/>
    </row>
    <row r="3" spans="1:15" ht="15" thickBot="1"/>
    <row r="4" spans="1:15" ht="15" thickBot="1">
      <c r="A4" s="16"/>
      <c r="B4" s="16"/>
      <c r="C4" s="16"/>
      <c r="D4" s="91"/>
      <c r="E4" s="91"/>
      <c r="F4" s="91"/>
      <c r="G4" s="91"/>
      <c r="H4" s="91"/>
      <c r="I4" s="91"/>
      <c r="J4" s="119" t="s">
        <v>50</v>
      </c>
      <c r="K4" s="119" t="s">
        <v>51</v>
      </c>
      <c r="L4" s="120" t="s">
        <v>48</v>
      </c>
      <c r="M4" s="16"/>
    </row>
    <row r="5" spans="1:15" ht="15" thickBot="1">
      <c r="A5" s="16"/>
      <c r="B5" s="16"/>
      <c r="C5" s="16"/>
      <c r="D5" s="269" t="s">
        <v>52</v>
      </c>
      <c r="E5" s="270"/>
      <c r="F5" s="271"/>
      <c r="G5" s="269" t="s">
        <v>53</v>
      </c>
      <c r="H5" s="271"/>
      <c r="I5" s="196" t="s">
        <v>54</v>
      </c>
      <c r="J5" s="197">
        <v>0.6</v>
      </c>
      <c r="K5" s="197">
        <v>0.2</v>
      </c>
      <c r="L5" s="197">
        <v>0.2</v>
      </c>
      <c r="M5" s="198"/>
      <c r="N5" s="194" t="s">
        <v>44</v>
      </c>
    </row>
    <row r="6" spans="1:15" ht="29.4" thickBot="1">
      <c r="A6" s="16"/>
      <c r="B6" s="195" t="s">
        <v>55</v>
      </c>
      <c r="C6" s="199" t="s">
        <v>56</v>
      </c>
      <c r="D6" s="207" t="s">
        <v>57</v>
      </c>
      <c r="E6" s="208" t="s">
        <v>52</v>
      </c>
      <c r="F6" s="209" t="s">
        <v>58</v>
      </c>
      <c r="G6" s="210" t="s">
        <v>53</v>
      </c>
      <c r="H6" s="209" t="s">
        <v>59</v>
      </c>
      <c r="I6" s="211" t="s">
        <v>60</v>
      </c>
      <c r="J6" s="212">
        <v>60</v>
      </c>
      <c r="K6" s="212">
        <v>20</v>
      </c>
      <c r="L6" s="212">
        <v>20</v>
      </c>
      <c r="M6" s="213" t="s">
        <v>61</v>
      </c>
      <c r="N6" s="193"/>
    </row>
    <row r="7" spans="1:15" ht="15" thickBot="1">
      <c r="A7" s="16"/>
      <c r="B7" s="160"/>
      <c r="C7" s="161"/>
      <c r="D7" s="200">
        <v>0.5</v>
      </c>
      <c r="E7" s="201">
        <v>0.5</v>
      </c>
      <c r="F7" s="202"/>
      <c r="G7" s="203">
        <v>25</v>
      </c>
      <c r="H7" s="202"/>
      <c r="I7" s="204"/>
      <c r="J7" s="205"/>
      <c r="K7" s="205"/>
      <c r="L7" s="205"/>
      <c r="M7" s="206"/>
      <c r="N7" s="190"/>
    </row>
    <row r="8" spans="1:15">
      <c r="A8" s="16"/>
      <c r="B8" s="167"/>
      <c r="C8" s="168"/>
      <c r="D8" s="168">
        <v>100</v>
      </c>
      <c r="E8" s="169"/>
      <c r="F8" s="170">
        <f>(+D8*D$7)+(+E8*E$7)</f>
        <v>50</v>
      </c>
      <c r="G8" s="169"/>
      <c r="H8" s="170">
        <f>(+G8*100)/G$7</f>
        <v>0</v>
      </c>
      <c r="I8" s="169"/>
      <c r="J8" s="170">
        <f>(F8*J$6)/100</f>
        <v>30</v>
      </c>
      <c r="K8" s="170">
        <f>(H8*K$6)/100</f>
        <v>0</v>
      </c>
      <c r="L8" s="170">
        <f>(I8*L$6)/100</f>
        <v>0</v>
      </c>
      <c r="M8" s="186">
        <f>J8+K8+L8</f>
        <v>30</v>
      </c>
      <c r="N8" s="190"/>
    </row>
    <row r="9" spans="1:15">
      <c r="A9" s="16"/>
      <c r="B9" s="171"/>
      <c r="C9" s="162"/>
      <c r="D9" s="162">
        <v>100</v>
      </c>
      <c r="E9" s="163"/>
      <c r="F9" s="164">
        <f t="shared" ref="F9" si="0">(+D9*D$7)+(+E9*E$7)</f>
        <v>50</v>
      </c>
      <c r="G9" s="163"/>
      <c r="H9" s="164">
        <v>85</v>
      </c>
      <c r="I9" s="163"/>
      <c r="J9" s="164">
        <f t="shared" ref="J9" si="1">(F9*J$6)/100</f>
        <v>30</v>
      </c>
      <c r="K9" s="164">
        <f t="shared" ref="K9:L11" si="2">(H9*K$6)/100</f>
        <v>17</v>
      </c>
      <c r="L9" s="164">
        <f t="shared" si="2"/>
        <v>0</v>
      </c>
      <c r="M9" s="187">
        <f t="shared" ref="M9" si="3">J9+K9+L9</f>
        <v>47</v>
      </c>
      <c r="N9" s="190"/>
    </row>
    <row r="10" spans="1:15">
      <c r="A10" s="16"/>
      <c r="B10" s="172"/>
      <c r="C10" s="162"/>
      <c r="D10" s="162">
        <v>100</v>
      </c>
      <c r="E10" s="163"/>
      <c r="F10" s="164">
        <f>(+D10*D$7)+(+E10*E$7)</f>
        <v>50</v>
      </c>
      <c r="G10" s="163"/>
      <c r="H10" s="164">
        <f>(+G10*100)/G$7</f>
        <v>0</v>
      </c>
      <c r="I10" s="163"/>
      <c r="J10" s="164">
        <f>(F10*J$6)/100</f>
        <v>30</v>
      </c>
      <c r="K10" s="164">
        <f>(H10*K$6)/100</f>
        <v>0</v>
      </c>
      <c r="L10" s="164">
        <f t="shared" si="2"/>
        <v>0</v>
      </c>
      <c r="M10" s="187">
        <f>J10+K10+L10</f>
        <v>30</v>
      </c>
      <c r="N10" s="191"/>
      <c r="O10" s="1"/>
    </row>
    <row r="11" spans="1:15">
      <c r="A11" s="16"/>
      <c r="B11" s="172"/>
      <c r="C11" s="162"/>
      <c r="D11" s="162">
        <v>100</v>
      </c>
      <c r="E11" s="163"/>
      <c r="F11" s="164">
        <f t="shared" ref="F11" si="4">(+D11*D$7)+(+E11*E$7)</f>
        <v>50</v>
      </c>
      <c r="G11" s="163"/>
      <c r="H11" s="164">
        <f t="shared" ref="H11" si="5">(+G11*100)/G$7</f>
        <v>0</v>
      </c>
      <c r="I11" s="163"/>
      <c r="J11" s="164">
        <f t="shared" ref="J11" si="6">(F11*J$6)/100</f>
        <v>30</v>
      </c>
      <c r="K11" s="164">
        <f t="shared" ref="K11" si="7">(H11*K$6)/100</f>
        <v>0</v>
      </c>
      <c r="L11" s="164">
        <f t="shared" si="2"/>
        <v>0</v>
      </c>
      <c r="M11" s="187">
        <f t="shared" ref="M11" si="8">J11+K11+L11</f>
        <v>30</v>
      </c>
      <c r="N11" s="190"/>
    </row>
    <row r="12" spans="1:15" ht="23.25" customHeight="1">
      <c r="A12" s="16"/>
      <c r="B12" s="172"/>
      <c r="C12" s="162"/>
      <c r="D12" s="165">
        <v>100</v>
      </c>
      <c r="E12" s="163"/>
      <c r="F12" s="164">
        <f>(+D12*D$7)+(+E12*E$7)</f>
        <v>50</v>
      </c>
      <c r="G12" s="163"/>
      <c r="H12" s="164">
        <f>(+G12*100)/G$7</f>
        <v>0</v>
      </c>
      <c r="I12" s="163"/>
      <c r="J12" s="164">
        <f>(F12*J$6)/100</f>
        <v>30</v>
      </c>
      <c r="K12" s="164">
        <f>(H12*K$6)/100</f>
        <v>0</v>
      </c>
      <c r="L12" s="164">
        <f>(I12*L$6)/100</f>
        <v>0</v>
      </c>
      <c r="M12" s="187">
        <f>J12+K12+L12</f>
        <v>30</v>
      </c>
      <c r="N12" s="190"/>
    </row>
    <row r="13" spans="1:15">
      <c r="A13" s="16"/>
      <c r="B13" s="174"/>
      <c r="C13" s="162"/>
      <c r="D13" s="162">
        <v>100</v>
      </c>
      <c r="E13" s="163"/>
      <c r="F13" s="164">
        <f t="shared" ref="F13" si="9">(+D13*D$7)+(+E13*E$7)</f>
        <v>50</v>
      </c>
      <c r="G13" s="163"/>
      <c r="H13" s="164">
        <f t="shared" ref="H13" si="10">(+G13*100)/G$7</f>
        <v>0</v>
      </c>
      <c r="I13" s="163"/>
      <c r="J13" s="164">
        <f t="shared" ref="J13" si="11">(F13*J$6)/100</f>
        <v>30</v>
      </c>
      <c r="K13" s="164">
        <f t="shared" ref="K13" si="12">(H13*K$6)/100</f>
        <v>0</v>
      </c>
      <c r="L13" s="164">
        <f t="shared" ref="L13" si="13">(I13*L$6)/100</f>
        <v>0</v>
      </c>
      <c r="M13" s="187">
        <f t="shared" ref="M13" si="14">J13+K13+L13</f>
        <v>30</v>
      </c>
      <c r="N13" s="190"/>
    </row>
    <row r="14" spans="1:15">
      <c r="A14" s="16"/>
      <c r="B14" s="174"/>
      <c r="C14" s="162"/>
      <c r="D14" s="162">
        <v>100</v>
      </c>
      <c r="E14" s="163"/>
      <c r="F14" s="164">
        <f t="shared" ref="F14" si="15">(+D14*D$7)+(+E14*E$7)</f>
        <v>50</v>
      </c>
      <c r="G14" s="163"/>
      <c r="H14" s="164">
        <f t="shared" ref="H14" si="16">(+G14*100)/G$7</f>
        <v>0</v>
      </c>
      <c r="I14" s="163"/>
      <c r="J14" s="164">
        <f t="shared" ref="J14" si="17">(F14*J$6)/100</f>
        <v>30</v>
      </c>
      <c r="K14" s="164">
        <f t="shared" ref="K14" si="18">(H14*K$6)/100</f>
        <v>0</v>
      </c>
      <c r="L14" s="164">
        <f t="shared" ref="L14" si="19">(I14*L$6)/100</f>
        <v>0</v>
      </c>
      <c r="M14" s="187">
        <f t="shared" ref="M14" si="20">J14+K14+L14</f>
        <v>30</v>
      </c>
      <c r="N14" s="190"/>
    </row>
    <row r="15" spans="1:15">
      <c r="A15" s="16"/>
      <c r="B15" s="174"/>
      <c r="C15" s="175"/>
      <c r="D15" s="165">
        <v>100</v>
      </c>
      <c r="E15" s="176"/>
      <c r="F15" s="166">
        <f t="shared" ref="F15:F20" si="21">(+D15*D$7)+(+E15*E$7)</f>
        <v>50</v>
      </c>
      <c r="G15" s="176"/>
      <c r="H15" s="166">
        <f t="shared" ref="H15:H20" si="22">(+G15*100)/G$7</f>
        <v>0</v>
      </c>
      <c r="I15" s="176"/>
      <c r="J15" s="166">
        <f t="shared" ref="J15:J20" si="23">(F15*J$6)/100</f>
        <v>30</v>
      </c>
      <c r="K15" s="166">
        <f t="shared" ref="K15:L20" si="24">(H15*K$6)/100</f>
        <v>0</v>
      </c>
      <c r="L15" s="166">
        <f t="shared" si="24"/>
        <v>0</v>
      </c>
      <c r="M15" s="188">
        <f t="shared" ref="M15:M20" si="25">J15+K15+L15</f>
        <v>30</v>
      </c>
      <c r="N15" s="190"/>
    </row>
    <row r="16" spans="1:15">
      <c r="A16" s="16"/>
      <c r="B16" s="174"/>
      <c r="C16" s="175"/>
      <c r="D16" s="165">
        <v>100</v>
      </c>
      <c r="E16" s="176"/>
      <c r="F16" s="166">
        <f t="shared" si="21"/>
        <v>50</v>
      </c>
      <c r="G16" s="176"/>
      <c r="H16" s="166">
        <f t="shared" si="22"/>
        <v>0</v>
      </c>
      <c r="I16" s="176"/>
      <c r="J16" s="166">
        <f t="shared" si="23"/>
        <v>30</v>
      </c>
      <c r="K16" s="166">
        <f t="shared" si="24"/>
        <v>0</v>
      </c>
      <c r="L16" s="166">
        <f t="shared" si="24"/>
        <v>0</v>
      </c>
      <c r="M16" s="188">
        <f t="shared" si="25"/>
        <v>30</v>
      </c>
      <c r="N16" s="190"/>
    </row>
    <row r="17" spans="1:14">
      <c r="A17" s="16"/>
      <c r="B17" s="177"/>
      <c r="C17" s="175"/>
      <c r="D17" s="165">
        <v>100</v>
      </c>
      <c r="E17" s="176"/>
      <c r="F17" s="166">
        <f t="shared" si="21"/>
        <v>50</v>
      </c>
      <c r="G17" s="176"/>
      <c r="H17" s="166">
        <f t="shared" si="22"/>
        <v>0</v>
      </c>
      <c r="I17" s="176"/>
      <c r="J17" s="166">
        <f t="shared" si="23"/>
        <v>30</v>
      </c>
      <c r="K17" s="166">
        <f t="shared" si="24"/>
        <v>0</v>
      </c>
      <c r="L17" s="166">
        <f t="shared" si="24"/>
        <v>0</v>
      </c>
      <c r="M17" s="188">
        <f t="shared" si="25"/>
        <v>30</v>
      </c>
      <c r="N17" s="190"/>
    </row>
    <row r="18" spans="1:14">
      <c r="A18" s="16"/>
      <c r="B18" s="178"/>
      <c r="C18" s="179"/>
      <c r="D18" s="165">
        <v>100</v>
      </c>
      <c r="E18" s="176"/>
      <c r="F18" s="166">
        <f t="shared" si="21"/>
        <v>50</v>
      </c>
      <c r="G18" s="176"/>
      <c r="H18" s="166">
        <f t="shared" si="22"/>
        <v>0</v>
      </c>
      <c r="I18" s="176"/>
      <c r="J18" s="166">
        <f t="shared" si="23"/>
        <v>30</v>
      </c>
      <c r="K18" s="166">
        <f t="shared" si="24"/>
        <v>0</v>
      </c>
      <c r="L18" s="166">
        <f t="shared" si="24"/>
        <v>0</v>
      </c>
      <c r="M18" s="188">
        <f t="shared" si="25"/>
        <v>30</v>
      </c>
      <c r="N18" s="190"/>
    </row>
    <row r="19" spans="1:14">
      <c r="B19" s="174"/>
      <c r="C19" s="180"/>
      <c r="D19" s="165">
        <v>100</v>
      </c>
      <c r="E19" s="176"/>
      <c r="F19" s="166">
        <f t="shared" si="21"/>
        <v>50</v>
      </c>
      <c r="G19" s="176"/>
      <c r="H19" s="166">
        <f t="shared" si="22"/>
        <v>0</v>
      </c>
      <c r="I19" s="176"/>
      <c r="J19" s="166">
        <f t="shared" si="23"/>
        <v>30</v>
      </c>
      <c r="K19" s="166">
        <f t="shared" si="24"/>
        <v>0</v>
      </c>
      <c r="L19" s="166">
        <f t="shared" si="24"/>
        <v>0</v>
      </c>
      <c r="M19" s="188">
        <f t="shared" si="25"/>
        <v>30</v>
      </c>
      <c r="N19" s="190"/>
    </row>
    <row r="20" spans="1:14" ht="15" thickBot="1">
      <c r="B20" s="181"/>
      <c r="C20" s="182"/>
      <c r="D20" s="183">
        <v>100</v>
      </c>
      <c r="E20" s="184"/>
      <c r="F20" s="173">
        <f t="shared" si="21"/>
        <v>50</v>
      </c>
      <c r="G20" s="184"/>
      <c r="H20" s="173">
        <f t="shared" si="22"/>
        <v>0</v>
      </c>
      <c r="I20" s="184"/>
      <c r="J20" s="173">
        <f t="shared" si="23"/>
        <v>30</v>
      </c>
      <c r="K20" s="173">
        <f t="shared" si="24"/>
        <v>0</v>
      </c>
      <c r="L20" s="173">
        <f t="shared" si="24"/>
        <v>0</v>
      </c>
      <c r="M20" s="189">
        <f t="shared" si="25"/>
        <v>30</v>
      </c>
      <c r="N20" s="192"/>
    </row>
  </sheetData>
  <mergeCells count="2">
    <mergeCell ref="D5:F5"/>
    <mergeCell ref="G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A43B-2186-4DDC-B216-51DA92ECAB09}">
  <dimension ref="A1:C9"/>
  <sheetViews>
    <sheetView workbookViewId="0">
      <selection activeCell="C20" sqref="C20"/>
    </sheetView>
  </sheetViews>
  <sheetFormatPr baseColWidth="10" defaultColWidth="11.44140625" defaultRowHeight="14.4"/>
  <cols>
    <col min="1" max="1" width="2" bestFit="1" customWidth="1"/>
    <col min="2" max="2" width="27.5546875" customWidth="1"/>
    <col min="3" max="3" width="53.5546875" bestFit="1" customWidth="1"/>
  </cols>
  <sheetData>
    <row r="1" spans="1:3">
      <c r="A1" s="81" t="s">
        <v>0</v>
      </c>
      <c r="B1" s="82" t="s">
        <v>62</v>
      </c>
      <c r="C1" s="82" t="s">
        <v>63</v>
      </c>
    </row>
    <row r="2" spans="1:3">
      <c r="A2" s="2">
        <v>1</v>
      </c>
      <c r="B2" s="2" t="s">
        <v>64</v>
      </c>
      <c r="C2" s="83" t="s">
        <v>65</v>
      </c>
    </row>
    <row r="3" spans="1:3">
      <c r="A3" s="2">
        <v>2</v>
      </c>
      <c r="B3" s="2" t="s">
        <v>66</v>
      </c>
      <c r="C3" s="83" t="s">
        <v>67</v>
      </c>
    </row>
    <row r="4" spans="1:3">
      <c r="A4" s="2">
        <v>3</v>
      </c>
      <c r="B4" s="2" t="s">
        <v>68</v>
      </c>
      <c r="C4" s="83" t="s">
        <v>69</v>
      </c>
    </row>
    <row r="5" spans="1:3">
      <c r="A5" s="2">
        <v>4</v>
      </c>
      <c r="B5" s="2" t="s">
        <v>77</v>
      </c>
      <c r="C5" s="83" t="s">
        <v>70</v>
      </c>
    </row>
    <row r="6" spans="1:3">
      <c r="A6" s="2">
        <v>5</v>
      </c>
      <c r="B6" s="2" t="s">
        <v>71</v>
      </c>
      <c r="C6" s="83" t="s">
        <v>72</v>
      </c>
    </row>
    <row r="9" spans="1:3" ht="120.75" customHeight="1">
      <c r="B9" s="272" t="s">
        <v>79</v>
      </c>
      <c r="C9" s="272"/>
    </row>
  </sheetData>
  <mergeCells count="1">
    <mergeCell ref="B9:C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3B353CD0C5674C8297BCA51F05F383" ma:contentTypeVersion="4" ma:contentTypeDescription="Crear nuevo documento." ma:contentTypeScope="" ma:versionID="c9b5e580d52cad249127f15ba9c14305">
  <xsd:schema xmlns:xsd="http://www.w3.org/2001/XMLSchema" xmlns:xs="http://www.w3.org/2001/XMLSchema" xmlns:p="http://schemas.microsoft.com/office/2006/metadata/properties" xmlns:ns2="7764d500-a475-4c00-9956-d34141997d06" targetNamespace="http://schemas.microsoft.com/office/2006/metadata/properties" ma:root="true" ma:fieldsID="d0bd0eb81ec828414ba3ef6c90c01de9" ns2:_="">
    <xsd:import namespace="7764d500-a475-4c00-9956-d34141997d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4d500-a475-4c00-9956-d34141997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4BFA2-67CB-4636-84B6-8C800661A9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A309BE-35E5-45F9-9A8D-EA0A9D00C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64d500-a475-4c00-9956-d34141997d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CE971-3768-435C-B3D5-2B5071319C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Personales Completos</vt:lpstr>
      <vt:lpstr>Experiencia Consolidado</vt:lpstr>
      <vt:lpstr>Lista Asistencia</vt:lpstr>
      <vt:lpstr>ConvocadosPrueba</vt:lpstr>
      <vt:lpstr>TERNAS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Ochoa, Adriana Elizabeth</dc:creator>
  <cp:keywords/>
  <dc:description/>
  <cp:lastModifiedBy>Paredes Fierro, Geomayra Alexandra</cp:lastModifiedBy>
  <cp:revision/>
  <dcterms:created xsi:type="dcterms:W3CDTF">2024-10-28T19:35:29Z</dcterms:created>
  <dcterms:modified xsi:type="dcterms:W3CDTF">2026-09-25T21:51:19Z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0x010100BB3B353CD0C5674C8297BCA51F05F383</vt:lpwstr>
  </property>
</Properties>
</file>